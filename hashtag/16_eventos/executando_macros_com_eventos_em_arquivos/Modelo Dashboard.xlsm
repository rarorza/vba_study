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boxuser\Dev\vba_study\hashtag\16_eventos\executando_macros_com_eventos_em_arquivos\"/>
    </mc:Choice>
  </mc:AlternateContent>
  <xr:revisionPtr revIDLastSave="0" documentId="13_ncr:1_{DA2A4786-08A1-430A-9A12-2A3B02125A31}" xr6:coauthVersionLast="47" xr6:coauthVersionMax="47" xr10:uidLastSave="{00000000-0000-0000-0000-000000000000}"/>
  <bookViews>
    <workbookView xWindow="-120" yWindow="-120" windowWidth="29025" windowHeight="14610" xr2:uid="{00000000-000D-0000-FFFF-FFFF00000000}"/>
  </bookViews>
  <sheets>
    <sheet name="Resumo Gerencial" sheetId="1" r:id="rId1"/>
    <sheet name="Base Vendas" sheetId="2" r:id="rId2"/>
    <sheet name="Auxiliar" sheetId="10" r:id="rId3"/>
    <sheet name="Sprite" sheetId="5" r:id="rId4"/>
    <sheet name="Red Bull" sheetId="6" r:id="rId5"/>
    <sheet name="Guarana" sheetId="4" r:id="rId6"/>
    <sheet name="Pepsi" sheetId="7" r:id="rId7"/>
    <sheet name="Fanta" sheetId="8" r:id="rId8"/>
    <sheet name="Coca Cola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36" i="2" l="1"/>
  <c r="S36" i="2" s="1"/>
  <c r="P35" i="2"/>
  <c r="R35" i="2" s="1"/>
  <c r="P44" i="2"/>
  <c r="R44" i="2" s="1"/>
  <c r="P43" i="2"/>
  <c r="R43" i="2" s="1"/>
  <c r="P21" i="2"/>
  <c r="R21" i="2" s="1"/>
  <c r="P20" i="2"/>
  <c r="R20" i="2" s="1"/>
  <c r="P29" i="2"/>
  <c r="R29" i="2" s="1"/>
  <c r="P28" i="2"/>
  <c r="S28" i="2" s="1"/>
  <c r="P14" i="2"/>
  <c r="R14" i="2" s="1"/>
  <c r="P13" i="2"/>
  <c r="R13" i="2" s="1"/>
  <c r="AA35" i="2" l="1"/>
  <c r="W35" i="2"/>
  <c r="S35" i="2"/>
  <c r="Q35" i="2"/>
  <c r="Y35" i="2"/>
  <c r="U35" i="2"/>
  <c r="AB35" i="2"/>
  <c r="X35" i="2"/>
  <c r="T35" i="2"/>
  <c r="Z35" i="2"/>
  <c r="V35" i="2"/>
  <c r="Z36" i="2"/>
  <c r="V36" i="2"/>
  <c r="R36" i="2"/>
  <c r="Q36" i="2"/>
  <c r="Y36" i="2"/>
  <c r="U36" i="2"/>
  <c r="AB36" i="2"/>
  <c r="X36" i="2"/>
  <c r="T36" i="2"/>
  <c r="AA36" i="2"/>
  <c r="W36" i="2"/>
  <c r="Q44" i="2"/>
  <c r="U44" i="2"/>
  <c r="AB44" i="2"/>
  <c r="X44" i="2"/>
  <c r="T44" i="2"/>
  <c r="Y44" i="2"/>
  <c r="AA44" i="2"/>
  <c r="W44" i="2"/>
  <c r="S44" i="2"/>
  <c r="Z44" i="2"/>
  <c r="V44" i="2"/>
  <c r="Q43" i="2"/>
  <c r="Y43" i="2"/>
  <c r="U43" i="2"/>
  <c r="AB43" i="2"/>
  <c r="X43" i="2"/>
  <c r="T43" i="2"/>
  <c r="AA43" i="2"/>
  <c r="W43" i="2"/>
  <c r="S43" i="2"/>
  <c r="Z43" i="2"/>
  <c r="V43" i="2"/>
  <c r="Q21" i="2"/>
  <c r="Y21" i="2"/>
  <c r="U21" i="2"/>
  <c r="AB21" i="2"/>
  <c r="X21" i="2"/>
  <c r="T21" i="2"/>
  <c r="AA21" i="2"/>
  <c r="W21" i="2"/>
  <c r="S21" i="2"/>
  <c r="Z21" i="2"/>
  <c r="V21" i="2"/>
  <c r="Q20" i="2"/>
  <c r="Y20" i="2"/>
  <c r="U20" i="2"/>
  <c r="AB20" i="2"/>
  <c r="X20" i="2"/>
  <c r="T20" i="2"/>
  <c r="AA20" i="2"/>
  <c r="W20" i="2"/>
  <c r="S20" i="2"/>
  <c r="Z20" i="2"/>
  <c r="V20" i="2"/>
  <c r="Q29" i="2"/>
  <c r="U29" i="2"/>
  <c r="AB29" i="2"/>
  <c r="X29" i="2"/>
  <c r="T29" i="2"/>
  <c r="Y29" i="2"/>
  <c r="AA29" i="2"/>
  <c r="W29" i="2"/>
  <c r="S29" i="2"/>
  <c r="Z29" i="2"/>
  <c r="V29" i="2"/>
  <c r="Z28" i="2"/>
  <c r="R28" i="2"/>
  <c r="Y28" i="2"/>
  <c r="U28" i="2"/>
  <c r="AB28" i="2"/>
  <c r="X28" i="2"/>
  <c r="T28" i="2"/>
  <c r="Q28" i="2"/>
  <c r="V28" i="2"/>
  <c r="AA28" i="2"/>
  <c r="W28" i="2"/>
  <c r="Q14" i="2"/>
  <c r="Y14" i="2"/>
  <c r="U14" i="2"/>
  <c r="AB14" i="2"/>
  <c r="X14" i="2"/>
  <c r="T14" i="2"/>
  <c r="AA14" i="2"/>
  <c r="W14" i="2"/>
  <c r="S14" i="2"/>
  <c r="Z14" i="2"/>
  <c r="V14" i="2"/>
  <c r="U13" i="2"/>
  <c r="AB13" i="2"/>
  <c r="X13" i="2"/>
  <c r="T13" i="2"/>
  <c r="AA13" i="2"/>
  <c r="W13" i="2"/>
  <c r="S13" i="2"/>
  <c r="Q13" i="2"/>
  <c r="Y13" i="2"/>
  <c r="Z13" i="2"/>
  <c r="V13" i="2"/>
  <c r="P7" i="2"/>
  <c r="AB7" i="2" s="1"/>
  <c r="P6" i="2"/>
  <c r="R6" i="2" s="1"/>
  <c r="N30" i="2"/>
  <c r="M30" i="2"/>
  <c r="L30" i="2"/>
  <c r="K30" i="2"/>
  <c r="J30" i="2"/>
  <c r="I30" i="2"/>
  <c r="H30" i="2"/>
  <c r="G30" i="2"/>
  <c r="F30" i="2"/>
  <c r="E30" i="2"/>
  <c r="D30" i="2"/>
  <c r="C27" i="2"/>
  <c r="C29" i="2"/>
  <c r="C28" i="2"/>
  <c r="Q7" i="2" l="1"/>
  <c r="T7" i="2"/>
  <c r="AA7" i="2"/>
  <c r="W7" i="2"/>
  <c r="S7" i="2"/>
  <c r="Y7" i="2"/>
  <c r="X7" i="2"/>
  <c r="Z7" i="2"/>
  <c r="V7" i="2"/>
  <c r="R7" i="2"/>
  <c r="U7" i="2"/>
  <c r="Q6" i="2"/>
  <c r="Y6" i="2"/>
  <c r="U6" i="2"/>
  <c r="AB6" i="2"/>
  <c r="X6" i="2"/>
  <c r="T6" i="2"/>
  <c r="AA6" i="2"/>
  <c r="W6" i="2"/>
  <c r="S6" i="2"/>
  <c r="Z6" i="2"/>
  <c r="V6" i="2"/>
  <c r="E28" i="2"/>
  <c r="M27" i="2"/>
  <c r="I27" i="2"/>
  <c r="E27" i="2"/>
  <c r="L29" i="2"/>
  <c r="H29" i="2"/>
  <c r="L27" i="2"/>
  <c r="H27" i="2"/>
  <c r="D29" i="2"/>
  <c r="K29" i="2"/>
  <c r="G29" i="2"/>
  <c r="D27" i="2"/>
  <c r="K27" i="2"/>
  <c r="G27" i="2"/>
  <c r="N29" i="2"/>
  <c r="J29" i="2"/>
  <c r="F29" i="2"/>
  <c r="N27" i="2"/>
  <c r="J27" i="2"/>
  <c r="F27" i="2"/>
  <c r="M29" i="2"/>
  <c r="I29" i="2"/>
  <c r="E29" i="2"/>
  <c r="G28" i="2"/>
  <c r="N28" i="2"/>
  <c r="J28" i="2"/>
  <c r="F28" i="2"/>
  <c r="L28" i="2"/>
  <c r="H28" i="2"/>
  <c r="D28" i="2"/>
  <c r="K28" i="2"/>
  <c r="M28" i="2"/>
  <c r="I28" i="2"/>
</calcChain>
</file>

<file path=xl/sharedStrings.xml><?xml version="1.0" encoding="utf-8"?>
<sst xmlns="http://schemas.openxmlformats.org/spreadsheetml/2006/main" count="53" uniqueCount="35">
  <si>
    <t>Sprite</t>
  </si>
  <si>
    <t>Guarana</t>
  </si>
  <si>
    <t>Pepsi</t>
  </si>
  <si>
    <t>Fanta</t>
  </si>
  <si>
    <t>Coca Cola</t>
  </si>
  <si>
    <t>Red Bull</t>
  </si>
  <si>
    <t>Meta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</si>
  <si>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</si>
  <si>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</si>
  <si>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</si>
  <si>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</si>
  <si>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</si>
  <si>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</si>
  <si>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</si>
  <si>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</si>
  <si>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</si>
  <si>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</si>
  <si>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</si>
  <si>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</si>
  <si>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 xml:space="preserve"> </t>
  </si>
  <si>
    <t>Explicação</t>
  </si>
  <si>
    <t>Uso</t>
  </si>
  <si>
    <t>Application.DisplayFormulaBar</t>
  </si>
  <si>
    <t>Exibe ou retira a barra de fórmulas</t>
  </si>
  <si>
    <t>Application.DisplayFormulaBar = True (ou False)</t>
  </si>
  <si>
    <t>Application.DisplayFullScreen</t>
  </si>
  <si>
    <t>Exibe ou sai do modo tela cheia</t>
  </si>
  <si>
    <t>Application.DisplayFullScreen = True (ou False)</t>
  </si>
  <si>
    <t>Application.ActiveWindow.DisplayGridLines</t>
  </si>
  <si>
    <t>Exibe ou retira as linhas de grade</t>
  </si>
  <si>
    <t>Application.ActiveWindow.DisplayGridLines = True (ou False)</t>
  </si>
  <si>
    <t>Application.ActiveWindow.DisplayWorkbookTabs</t>
  </si>
  <si>
    <t>Exibe ou retira a barra com os nomes das abas</t>
  </si>
  <si>
    <t>Application.ActiveWindow.DisplayWorkbookTabs = True (ou False)</t>
  </si>
  <si>
    <t>Propriedade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</si>
</sst>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"/>
  </numFmts>
  <fonts count="7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Play"/>
      <family val="2"/>
    </font>
    <font>
      <b/>
      <sz val="11"/>
      <color theme="1"/>
      <name val="Play"/>
      <family val="2"/>
    </font>
    <font>
      <b/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3" borderId="0" xfId="0" applyFill="1"/>
    <xf numFmtId="0" fontId="0" fillId="0" borderId="0" xfId="0" applyAlignment="1">
      <alignment horizontal="center"/>
    </xf>
    <xf numFmtId="17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2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/>
    <xf numFmtId="0" fontId="3" fillId="5" borderId="0" xfId="0" applyFont="1" applyFill="1"/>
    <xf numFmtId="0" fontId="5" fillId="5" borderId="0" xfId="0" applyFont="1" applyFill="1" applyAlignment="1">
      <alignment horizontal="center"/>
    </xf>
    <xf numFmtId="164" fontId="6" fillId="5" borderId="0" xfId="0" applyNumberFormat="1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1" fillId="3" borderId="0" xfId="0" applyFont="1" applyFill="1"/>
    <xf numFmtId="0" fontId="1" fillId="6" borderId="0" xfId="0" applyFont="1" applyFill="1"/>
    <xf numFmtId="0" fontId="0" fillId="6" borderId="0" xfId="0" applyFill="1"/>
    <xf numFmtId="0" fontId="3" fillId="3" borderId="0" xfId="0" applyFont="1" applyFill="1"/>
    <xf numFmtId="0" fontId="5" fillId="3" borderId="0" xfId="0" applyFont="1" applyFill="1" applyAlignment="1">
      <alignment horizontal="center"/>
    </xf>
    <xf numFmtId="164" fontId="6" fillId="3" borderId="0" xfId="0" applyNumberFormat="1" applyFont="1" applyFill="1" applyAlignment="1">
      <alignment horizontal="left"/>
    </xf>
    <xf numFmtId="1" fontId="0" fillId="7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2" fillId="8" borderId="1" xfId="0" applyFont="1" applyFill="1" applyBorder="1"/>
    <xf numFmtId="0" fontId="0" fillId="0" borderId="1" xfId="0" applyBorder="1"/>
    <xf numFmtId="0" fontId="0" fillId="0" borderId="1" xfId="0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25670598229164"/>
          <c:y val="5.2948255114320095E-2"/>
          <c:w val="0.86401280752768961"/>
          <c:h val="0.835387399679733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'Base Vendas'!$C$28</c:f>
              <c:strCache>
                <c:ptCount val="1"/>
                <c:pt idx="0">
                  <c:v>Guarana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'Base Vendas'!$D$27:$N$27</c:f>
              <c:numCache>
                <c:formatCode>mmm\-yy</c:formatCode>
                <c:ptCount val="11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</c:numCache>
            </c:numRef>
          </c:cat>
          <c:val>
            <c:numRef>
              <c:f>'Base Vendas'!$D$28:$N$28</c:f>
              <c:numCache>
                <c:formatCode>"R$"\ #,##0</c:formatCode>
                <c:ptCount val="11"/>
                <c:pt idx="0">
                  <c:v>4410</c:v>
                </c:pt>
                <c:pt idx="1">
                  <c:v>6653</c:v>
                </c:pt>
                <c:pt idx="2">
                  <c:v>9204</c:v>
                </c:pt>
                <c:pt idx="3">
                  <c:v>17062</c:v>
                </c:pt>
                <c:pt idx="4">
                  <c:v>1412</c:v>
                </c:pt>
                <c:pt idx="5">
                  <c:v>10904</c:v>
                </c:pt>
                <c:pt idx="6">
                  <c:v>26600</c:v>
                </c:pt>
                <c:pt idx="7">
                  <c:v>20778</c:v>
                </c:pt>
                <c:pt idx="8">
                  <c:v>11634</c:v>
                </c:pt>
                <c:pt idx="9">
                  <c:v>3387</c:v>
                </c:pt>
                <c:pt idx="10">
                  <c:v>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F6-4F60-B3E8-5F1E092FCEE4}"/>
            </c:ext>
          </c:extLst>
        </c:ser>
        <c:ser>
          <c:idx val="1"/>
          <c:order val="1"/>
          <c:tx>
            <c:strRef>
              <c:f>'Base Vendas'!$C$29</c:f>
              <c:strCache>
                <c:ptCount val="1"/>
                <c:pt idx="0">
                  <c:v>Coca Cola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cat>
            <c:numRef>
              <c:f>'Base Vendas'!$D$27:$N$27</c:f>
              <c:numCache>
                <c:formatCode>mmm\-yy</c:formatCode>
                <c:ptCount val="11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</c:numCache>
            </c:numRef>
          </c:cat>
          <c:val>
            <c:numRef>
              <c:f>'Base Vendas'!$D$29:$N$29</c:f>
              <c:numCache>
                <c:formatCode>"R$"\ #,##0</c:formatCode>
                <c:ptCount val="11"/>
                <c:pt idx="0">
                  <c:v>8594</c:v>
                </c:pt>
                <c:pt idx="1">
                  <c:v>26915</c:v>
                </c:pt>
                <c:pt idx="2">
                  <c:v>2855</c:v>
                </c:pt>
                <c:pt idx="3">
                  <c:v>9838</c:v>
                </c:pt>
                <c:pt idx="4">
                  <c:v>26763</c:v>
                </c:pt>
                <c:pt idx="5">
                  <c:v>3350</c:v>
                </c:pt>
                <c:pt idx="6">
                  <c:v>5281</c:v>
                </c:pt>
                <c:pt idx="7">
                  <c:v>16709</c:v>
                </c:pt>
                <c:pt idx="8">
                  <c:v>17058</c:v>
                </c:pt>
                <c:pt idx="9">
                  <c:v>2539</c:v>
                </c:pt>
                <c:pt idx="10">
                  <c:v>23299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F6-4F60-B3E8-5F1E092FC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84259312"/>
        <c:axId val="-784259856"/>
      </c:barChart>
      <c:lineChart>
        <c:grouping val="standard"/>
        <c:varyColors val="0"/>
        <c:ser>
          <c:idx val="2"/>
          <c:order val="2"/>
          <c:tx>
            <c:v>Meta</c:v>
          </c:tx>
          <c:spPr>
            <a:ln w="19050" cap="rnd">
              <a:solidFill>
                <a:srgbClr val="FF3300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'Base Vendas'!$D$30:$N$30</c:f>
              <c:numCache>
                <c:formatCode>"R$"\ #,##0</c:formatCode>
                <c:ptCount val="11"/>
                <c:pt idx="0">
                  <c:v>21000</c:v>
                </c:pt>
                <c:pt idx="1">
                  <c:v>21000</c:v>
                </c:pt>
                <c:pt idx="2">
                  <c:v>21000</c:v>
                </c:pt>
                <c:pt idx="3">
                  <c:v>21000</c:v>
                </c:pt>
                <c:pt idx="4">
                  <c:v>21000</c:v>
                </c:pt>
                <c:pt idx="5">
                  <c:v>21000</c:v>
                </c:pt>
                <c:pt idx="6">
                  <c:v>21000</c:v>
                </c:pt>
                <c:pt idx="7">
                  <c:v>21000</c:v>
                </c:pt>
                <c:pt idx="8">
                  <c:v>21000</c:v>
                </c:pt>
                <c:pt idx="9">
                  <c:v>21000</c:v>
                </c:pt>
                <c:pt idx="10">
                  <c:v>21000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F6-4F60-B3E8-5F1E092FC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84259312"/>
        <c:axId val="-784259856"/>
      </c:lineChart>
      <c:dateAx>
        <c:axId val="-784259312"/>
        <c:scaling>
          <c:orientation val="minMax"/>
        </c:scaling>
        <c:delete val="1"/>
        <c:axPos val="b"/>
        <c:numFmt formatCode="mmm\-yy" sourceLinked="1"/>
        <c:majorTickMark val="none"/>
        <c:minorTickMark val="none"/>
        <c:tickLblPos val="nextTo"/>
        <c:crossAx val="-784259856"/>
        <c:crosses val="autoZero"/>
        <c:auto val="1"/>
        <c:lblOffset val="100"/>
        <c:baseTimeUnit val="months"/>
      </c:dateAx>
      <c:valAx>
        <c:axId val="-784259856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-784259312"/>
        <c:crosses val="autoZero"/>
        <c:crossBetween val="between"/>
        <c:majorUnit val="20000"/>
      </c:valAx>
      <c:dTable>
        <c:showHorzBorder val="1"/>
        <c:showVertBorder val="1"/>
        <c:showOutline val="0"/>
        <c:showKeys val="1"/>
        <c:spPr>
          <a:noFill/>
          <a:ln w="9525" cap="flat" cmpd="sng" algn="ctr">
            <a:solidFill>
              <a:srgbClr val="FFFFFF">
                <a:alpha val="12157"/>
              </a:srgbClr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5">
        <a:lumMod val="5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25670598229164"/>
          <c:y val="5.2948255114320095E-2"/>
          <c:w val="0.86401280752768961"/>
          <c:h val="0.83538739967973319"/>
        </c:manualLayout>
      </c:layout>
      <c:lineChart>
        <c:grouping val="standard"/>
        <c:varyColors val="0"/>
        <c:ser>
          <c:idx val="0"/>
          <c:order val="0"/>
          <c:tx>
            <c:strRef>
              <c:f>'Base Vendas'!$P$6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2060"/>
                </a:solidFill>
              </a:ln>
              <a:effectLst/>
            </c:spPr>
          </c:marker>
          <c:cat>
            <c:strRef>
              <c:f>'Base Vendas'!$Q$1:$AB$1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'Base Vendas'!$Q$6:$AB$6</c:f>
              <c:numCache>
                <c:formatCode>"R$"\ #,##0</c:formatCode>
                <c:ptCount val="12"/>
                <c:pt idx="0">
                  <c:v>5951</c:v>
                </c:pt>
                <c:pt idx="1">
                  <c:v>5575</c:v>
                </c:pt>
                <c:pt idx="2">
                  <c:v>4179</c:v>
                </c:pt>
                <c:pt idx="3">
                  <c:v>9616</c:v>
                </c:pt>
                <c:pt idx="4">
                  <c:v>10217</c:v>
                </c:pt>
                <c:pt idx="5">
                  <c:v>22618</c:v>
                </c:pt>
                <c:pt idx="6">
                  <c:v>27412</c:v>
                </c:pt>
                <c:pt idx="7">
                  <c:v>7798</c:v>
                </c:pt>
                <c:pt idx="8">
                  <c:v>19580</c:v>
                </c:pt>
                <c:pt idx="9">
                  <c:v>2366</c:v>
                </c:pt>
                <c:pt idx="10">
                  <c:v>9074</c:v>
                </c:pt>
                <c:pt idx="11">
                  <c:v>4573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E-49B9-801B-5D8D15DA402C}"/>
            </c:ext>
          </c:extLst>
        </c:ser>
        <c:ser>
          <c:idx val="1"/>
          <c:order val="1"/>
          <c:tx>
            <c:strRef>
              <c:f>'Base Vendas'!$P$7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'Base Vendas'!$Q$1:$AB$1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'Base Vendas'!$Q$7:$AB$7</c:f>
              <c:numCache>
                <c:formatCode>"R$"\ #,##0</c:formatCode>
                <c:ptCount val="12"/>
                <c:pt idx="0">
                  <c:v>23403</c:v>
                </c:pt>
                <c:pt idx="1">
                  <c:v>13212</c:v>
                </c:pt>
                <c:pt idx="2">
                  <c:v>21386</c:v>
                </c:pt>
                <c:pt idx="3">
                  <c:v>10947</c:v>
                </c:pt>
                <c:pt idx="4">
                  <c:v>27753</c:v>
                </c:pt>
                <c:pt idx="5">
                  <c:v>27555</c:v>
                </c:pt>
                <c:pt idx="6">
                  <c:v>10435</c:v>
                </c:pt>
                <c:pt idx="7">
                  <c:v>21384</c:v>
                </c:pt>
                <c:pt idx="8">
                  <c:v>18634</c:v>
                </c:pt>
                <c:pt idx="9">
                  <c:v>20452</c:v>
                </c:pt>
                <c:pt idx="10">
                  <c:v>13318</c:v>
                </c:pt>
                <c:pt idx="11">
                  <c:v>26916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E-49B9-801B-5D8D15DA4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84263664"/>
        <c:axId val="-784262032"/>
      </c:lineChart>
      <c:catAx>
        <c:axId val="-7842636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784262032"/>
        <c:crosses val="autoZero"/>
        <c:auto val="1"/>
        <c:lblAlgn val="ctr"/>
        <c:lblOffset val="100"/>
        <c:noMultiLvlLbl val="0"/>
      </c:catAx>
      <c:valAx>
        <c:axId val="-784262032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-784263664"/>
        <c:crosses val="autoZero"/>
        <c:crossBetween val="between"/>
        <c:majorUnit val="20000"/>
      </c:valAx>
      <c:dTable>
        <c:showHorzBorder val="1"/>
        <c:showVertBorder val="1"/>
        <c:showOutline val="0"/>
        <c:showKeys val="1"/>
        <c:spPr>
          <a:noFill/>
          <a:ln w="3175" cap="flat" cmpd="sng" algn="ctr">
            <a:solidFill>
              <a:srgbClr val="FFFFFF">
                <a:alpha val="58039"/>
              </a:srgbClr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25670598229164"/>
          <c:y val="5.2948255114320095E-2"/>
          <c:w val="0.86401280752768961"/>
          <c:h val="0.83538739967973319"/>
        </c:manualLayout>
      </c:layout>
      <c:lineChart>
        <c:grouping val="standard"/>
        <c:varyColors val="0"/>
        <c:ser>
          <c:idx val="0"/>
          <c:order val="0"/>
          <c:tx>
            <c:strRef>
              <c:f>'Base Vendas'!$P$28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2060"/>
                </a:solidFill>
              </a:ln>
              <a:effectLst/>
            </c:spPr>
          </c:marker>
          <c:cat>
            <c:strRef>
              <c:f>'Base Vendas'!$Q$1:$AB$1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'Base Vendas'!$Q$28:$AB$28</c:f>
              <c:numCache>
                <c:formatCode>"R$"\ #,##0</c:formatCode>
                <c:ptCount val="12"/>
                <c:pt idx="0">
                  <c:v>29703</c:v>
                </c:pt>
                <c:pt idx="1">
                  <c:v>26882</c:v>
                </c:pt>
                <c:pt idx="2">
                  <c:v>16093</c:v>
                </c:pt>
                <c:pt idx="3">
                  <c:v>20072</c:v>
                </c:pt>
                <c:pt idx="4">
                  <c:v>16900</c:v>
                </c:pt>
                <c:pt idx="5">
                  <c:v>18906</c:v>
                </c:pt>
                <c:pt idx="6">
                  <c:v>8243</c:v>
                </c:pt>
                <c:pt idx="7">
                  <c:v>29649</c:v>
                </c:pt>
                <c:pt idx="8">
                  <c:v>19394</c:v>
                </c:pt>
                <c:pt idx="9">
                  <c:v>1476</c:v>
                </c:pt>
                <c:pt idx="10">
                  <c:v>1063</c:v>
                </c:pt>
                <c:pt idx="11">
                  <c:v>3737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07-4DC3-A2AA-902BDE339B59}"/>
            </c:ext>
          </c:extLst>
        </c:ser>
        <c:ser>
          <c:idx val="1"/>
          <c:order val="1"/>
          <c:tx>
            <c:strRef>
              <c:f>'Base Vendas'!$P$29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'Base Vendas'!$Q$1:$AB$1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'Base Vendas'!$Q$29:$AB$29</c:f>
              <c:numCache>
                <c:formatCode>"R$"\ #,##0</c:formatCode>
                <c:ptCount val="12"/>
                <c:pt idx="0">
                  <c:v>19234</c:v>
                </c:pt>
                <c:pt idx="1">
                  <c:v>27202</c:v>
                </c:pt>
                <c:pt idx="2">
                  <c:v>5903</c:v>
                </c:pt>
                <c:pt idx="3">
                  <c:v>8776</c:v>
                </c:pt>
                <c:pt idx="4">
                  <c:v>3305</c:v>
                </c:pt>
                <c:pt idx="5">
                  <c:v>25252</c:v>
                </c:pt>
                <c:pt idx="6">
                  <c:v>28926</c:v>
                </c:pt>
                <c:pt idx="7">
                  <c:v>24295</c:v>
                </c:pt>
                <c:pt idx="8">
                  <c:v>17704</c:v>
                </c:pt>
                <c:pt idx="9">
                  <c:v>13869</c:v>
                </c:pt>
                <c:pt idx="10">
                  <c:v>18686</c:v>
                </c:pt>
                <c:pt idx="11">
                  <c:v>22093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07-4DC3-A2AA-902BDE339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84265840"/>
        <c:axId val="-784265296"/>
      </c:lineChart>
      <c:catAx>
        <c:axId val="-784265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784265296"/>
        <c:crosses val="autoZero"/>
        <c:auto val="1"/>
        <c:lblAlgn val="ctr"/>
        <c:lblOffset val="100"/>
        <c:noMultiLvlLbl val="0"/>
      </c:catAx>
      <c:valAx>
        <c:axId val="-784265296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-784265840"/>
        <c:crosses val="autoZero"/>
        <c:crossBetween val="between"/>
        <c:majorUnit val="20000"/>
      </c:valAx>
      <c:dTable>
        <c:showHorzBorder val="1"/>
        <c:showVertBorder val="1"/>
        <c:showOutline val="0"/>
        <c:showKeys val="1"/>
        <c:spPr>
          <a:noFill/>
          <a:ln w="3175" cap="flat" cmpd="sng" algn="ctr">
            <a:solidFill>
              <a:srgbClr val="FFFFFF">
                <a:alpha val="58039"/>
              </a:srgbClr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25670598229164"/>
          <c:y val="5.2948255114320095E-2"/>
          <c:w val="0.86401280752768961"/>
          <c:h val="0.83538739967973319"/>
        </c:manualLayout>
      </c:layout>
      <c:lineChart>
        <c:grouping val="standard"/>
        <c:varyColors val="0"/>
        <c:ser>
          <c:idx val="0"/>
          <c:order val="0"/>
          <c:tx>
            <c:strRef>
              <c:f>'Base Vendas'!$P$13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2060"/>
                </a:solidFill>
              </a:ln>
              <a:effectLst/>
            </c:spPr>
          </c:marker>
          <c:cat>
            <c:strRef>
              <c:f>'Base Vendas'!$Q$1:$AB$1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'Base Vendas'!$Q$13:$AB$13</c:f>
              <c:numCache>
                <c:formatCode>"R$"\ #,##0</c:formatCode>
                <c:ptCount val="12"/>
                <c:pt idx="0">
                  <c:v>6349</c:v>
                </c:pt>
                <c:pt idx="1">
                  <c:v>4199</c:v>
                </c:pt>
                <c:pt idx="2">
                  <c:v>3729</c:v>
                </c:pt>
                <c:pt idx="3">
                  <c:v>15505</c:v>
                </c:pt>
                <c:pt idx="4">
                  <c:v>19670</c:v>
                </c:pt>
                <c:pt idx="5">
                  <c:v>16121</c:v>
                </c:pt>
                <c:pt idx="6">
                  <c:v>7058</c:v>
                </c:pt>
                <c:pt idx="7">
                  <c:v>16925</c:v>
                </c:pt>
                <c:pt idx="8">
                  <c:v>23929</c:v>
                </c:pt>
                <c:pt idx="9">
                  <c:v>13913</c:v>
                </c:pt>
                <c:pt idx="10">
                  <c:v>3544</c:v>
                </c:pt>
                <c:pt idx="11">
                  <c:v>2430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A2-4E49-8FB8-4317F33616D8}"/>
            </c:ext>
          </c:extLst>
        </c:ser>
        <c:ser>
          <c:idx val="1"/>
          <c:order val="1"/>
          <c:tx>
            <c:strRef>
              <c:f>'Base Vendas'!$P$14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'Base Vendas'!$Q$1:$AB$1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'Base Vendas'!$Q$14:$AB$14</c:f>
              <c:numCache>
                <c:formatCode>"R$"\ #,##0</c:formatCode>
                <c:ptCount val="12"/>
                <c:pt idx="0">
                  <c:v>5962</c:v>
                </c:pt>
                <c:pt idx="1">
                  <c:v>27690</c:v>
                </c:pt>
                <c:pt idx="2">
                  <c:v>13355</c:v>
                </c:pt>
                <c:pt idx="3">
                  <c:v>5593</c:v>
                </c:pt>
                <c:pt idx="4">
                  <c:v>19303</c:v>
                </c:pt>
                <c:pt idx="5">
                  <c:v>1680</c:v>
                </c:pt>
                <c:pt idx="6">
                  <c:v>11459</c:v>
                </c:pt>
                <c:pt idx="7">
                  <c:v>7325</c:v>
                </c:pt>
                <c:pt idx="8">
                  <c:v>16360</c:v>
                </c:pt>
                <c:pt idx="9">
                  <c:v>24893</c:v>
                </c:pt>
                <c:pt idx="10">
                  <c:v>7527</c:v>
                </c:pt>
                <c:pt idx="11">
                  <c:v>12998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A2-4E49-8FB8-4317F3361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84257136"/>
        <c:axId val="-784256592"/>
      </c:lineChart>
      <c:catAx>
        <c:axId val="-7842571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784256592"/>
        <c:crosses val="autoZero"/>
        <c:auto val="1"/>
        <c:lblAlgn val="ctr"/>
        <c:lblOffset val="100"/>
        <c:noMultiLvlLbl val="0"/>
      </c:catAx>
      <c:valAx>
        <c:axId val="-784256592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-784257136"/>
        <c:crosses val="autoZero"/>
        <c:crossBetween val="between"/>
        <c:majorUnit val="20000"/>
      </c:valAx>
      <c:dTable>
        <c:showHorzBorder val="1"/>
        <c:showVertBorder val="1"/>
        <c:showOutline val="0"/>
        <c:showKeys val="1"/>
        <c:spPr>
          <a:noFill/>
          <a:ln w="3175" cap="flat" cmpd="sng" algn="ctr">
            <a:solidFill>
              <a:srgbClr val="FFFFFF">
                <a:alpha val="58039"/>
              </a:srgbClr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25670598229164"/>
          <c:y val="5.2948255114320095E-2"/>
          <c:w val="0.86401280752768961"/>
          <c:h val="0.83538739967973319"/>
        </c:manualLayout>
      </c:layout>
      <c:lineChart>
        <c:grouping val="standard"/>
        <c:varyColors val="0"/>
        <c:ser>
          <c:idx val="0"/>
          <c:order val="0"/>
          <c:tx>
            <c:strRef>
              <c:f>'Base Vendas'!$P$20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2060"/>
                </a:solidFill>
              </a:ln>
              <a:effectLst/>
            </c:spPr>
          </c:marker>
          <c:cat>
            <c:strRef>
              <c:f>'Base Vendas'!$Q$1:$AB$1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'Base Vendas'!$Q$20:$AB$20</c:f>
              <c:numCache>
                <c:formatCode>"R$"\ #,##0</c:formatCode>
                <c:ptCount val="12"/>
                <c:pt idx="0">
                  <c:v>10441</c:v>
                </c:pt>
                <c:pt idx="1">
                  <c:v>13107</c:v>
                </c:pt>
                <c:pt idx="2">
                  <c:v>12384</c:v>
                </c:pt>
                <c:pt idx="3">
                  <c:v>29955</c:v>
                </c:pt>
                <c:pt idx="4">
                  <c:v>15951</c:v>
                </c:pt>
                <c:pt idx="5">
                  <c:v>15482</c:v>
                </c:pt>
                <c:pt idx="6">
                  <c:v>29815</c:v>
                </c:pt>
                <c:pt idx="7">
                  <c:v>10909</c:v>
                </c:pt>
                <c:pt idx="8">
                  <c:v>1939</c:v>
                </c:pt>
                <c:pt idx="9">
                  <c:v>28503</c:v>
                </c:pt>
                <c:pt idx="10">
                  <c:v>16042</c:v>
                </c:pt>
                <c:pt idx="11">
                  <c:v>11249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B-4A8C-B4D2-963082AB87E1}"/>
            </c:ext>
          </c:extLst>
        </c:ser>
        <c:ser>
          <c:idx val="1"/>
          <c:order val="1"/>
          <c:tx>
            <c:strRef>
              <c:f>'Base Vendas'!$P$21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'Base Vendas'!$Q$1:$AB$1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'Base Vendas'!$Q$21:$AB$21</c:f>
              <c:numCache>
                <c:formatCode>"R$"\ #,##0</c:formatCode>
                <c:ptCount val="12"/>
                <c:pt idx="0">
                  <c:v>15399</c:v>
                </c:pt>
                <c:pt idx="1">
                  <c:v>21385</c:v>
                </c:pt>
                <c:pt idx="2">
                  <c:v>11105</c:v>
                </c:pt>
                <c:pt idx="3">
                  <c:v>19493</c:v>
                </c:pt>
                <c:pt idx="4">
                  <c:v>21894</c:v>
                </c:pt>
                <c:pt idx="5">
                  <c:v>7527</c:v>
                </c:pt>
                <c:pt idx="6">
                  <c:v>21790</c:v>
                </c:pt>
                <c:pt idx="7">
                  <c:v>13614</c:v>
                </c:pt>
                <c:pt idx="8">
                  <c:v>20555</c:v>
                </c:pt>
                <c:pt idx="9">
                  <c:v>19554</c:v>
                </c:pt>
                <c:pt idx="10">
                  <c:v>23938</c:v>
                </c:pt>
                <c:pt idx="11">
                  <c:v>8267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EB-4A8C-B4D2-963082AB8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84254416"/>
        <c:axId val="-784269648"/>
      </c:lineChart>
      <c:catAx>
        <c:axId val="-7842544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784269648"/>
        <c:crosses val="autoZero"/>
        <c:auto val="1"/>
        <c:lblAlgn val="ctr"/>
        <c:lblOffset val="100"/>
        <c:noMultiLvlLbl val="0"/>
      </c:catAx>
      <c:valAx>
        <c:axId val="-784269648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-784254416"/>
        <c:crosses val="autoZero"/>
        <c:crossBetween val="between"/>
        <c:majorUnit val="20000"/>
      </c:valAx>
      <c:dTable>
        <c:showHorzBorder val="1"/>
        <c:showVertBorder val="1"/>
        <c:showOutline val="0"/>
        <c:showKeys val="1"/>
        <c:spPr>
          <a:noFill/>
          <a:ln w="3175" cap="flat" cmpd="sng" algn="ctr">
            <a:solidFill>
              <a:srgbClr val="FFFFFF">
                <a:alpha val="58039"/>
              </a:srgbClr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25670598229164"/>
          <c:y val="5.2948255114320095E-2"/>
          <c:w val="0.86401280752768961"/>
          <c:h val="0.83538739967973319"/>
        </c:manualLayout>
      </c:layout>
      <c:lineChart>
        <c:grouping val="standard"/>
        <c:varyColors val="0"/>
        <c:ser>
          <c:idx val="0"/>
          <c:order val="0"/>
          <c:tx>
            <c:strRef>
              <c:f>'Base Vendas'!$P$43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'Base Vendas'!$Q$1:$AB$1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'Base Vendas'!$Q$43:$AB$43</c:f>
              <c:numCache>
                <c:formatCode>"R$"\ #,##0</c:formatCode>
                <c:ptCount val="12"/>
                <c:pt idx="0">
                  <c:v>8506</c:v>
                </c:pt>
                <c:pt idx="1">
                  <c:v>7978</c:v>
                </c:pt>
                <c:pt idx="2">
                  <c:v>26828</c:v>
                </c:pt>
                <c:pt idx="3">
                  <c:v>19337</c:v>
                </c:pt>
                <c:pt idx="4">
                  <c:v>5158</c:v>
                </c:pt>
                <c:pt idx="5">
                  <c:v>3821</c:v>
                </c:pt>
                <c:pt idx="6">
                  <c:v>23094</c:v>
                </c:pt>
                <c:pt idx="7">
                  <c:v>23305</c:v>
                </c:pt>
                <c:pt idx="8">
                  <c:v>29078</c:v>
                </c:pt>
                <c:pt idx="9">
                  <c:v>23134</c:v>
                </c:pt>
                <c:pt idx="10">
                  <c:v>3697</c:v>
                </c:pt>
                <c:pt idx="11">
                  <c:v>24863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74-4450-A547-D460F561C6DC}"/>
            </c:ext>
          </c:extLst>
        </c:ser>
        <c:ser>
          <c:idx val="1"/>
          <c:order val="1"/>
          <c:tx>
            <c:strRef>
              <c:f>'Base Vendas'!$P$44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002060"/>
                </a:solidFill>
              </a:ln>
              <a:effectLst/>
            </c:spPr>
          </c:marker>
          <c:cat>
            <c:strRef>
              <c:f>'Base Vendas'!$Q$1:$AB$1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'Base Vendas'!$Q$44:$AB$44</c:f>
              <c:numCache>
                <c:formatCode>"R$"\ #,##0</c:formatCode>
                <c:ptCount val="12"/>
                <c:pt idx="0">
                  <c:v>7843</c:v>
                </c:pt>
                <c:pt idx="1">
                  <c:v>18522</c:v>
                </c:pt>
                <c:pt idx="2">
                  <c:v>1552</c:v>
                </c:pt>
                <c:pt idx="3">
                  <c:v>10259</c:v>
                </c:pt>
                <c:pt idx="4">
                  <c:v>11051</c:v>
                </c:pt>
                <c:pt idx="5">
                  <c:v>7904</c:v>
                </c:pt>
                <c:pt idx="6">
                  <c:v>22612</c:v>
                </c:pt>
                <c:pt idx="7">
                  <c:v>1258</c:v>
                </c:pt>
                <c:pt idx="8">
                  <c:v>29875</c:v>
                </c:pt>
                <c:pt idx="9">
                  <c:v>4244</c:v>
                </c:pt>
                <c:pt idx="10">
                  <c:v>28167</c:v>
                </c:pt>
                <c:pt idx="11">
                  <c:v>13904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74-4450-A547-D460F561C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84262576"/>
        <c:axId val="-781895760"/>
      </c:lineChart>
      <c:catAx>
        <c:axId val="-7842625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781895760"/>
        <c:crosses val="autoZero"/>
        <c:auto val="1"/>
        <c:lblAlgn val="ctr"/>
        <c:lblOffset val="100"/>
        <c:noMultiLvlLbl val="0"/>
      </c:catAx>
      <c:valAx>
        <c:axId val="-781895760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-784262576"/>
        <c:crosses val="autoZero"/>
        <c:crossBetween val="between"/>
        <c:majorUnit val="20000"/>
      </c:valAx>
      <c:dTable>
        <c:showHorzBorder val="1"/>
        <c:showVertBorder val="1"/>
        <c:showOutline val="0"/>
        <c:showKeys val="1"/>
        <c:spPr>
          <a:noFill/>
          <a:ln w="3175" cap="flat" cmpd="sng" algn="ctr">
            <a:solidFill>
              <a:srgbClr val="FFFFFF">
                <a:alpha val="58039"/>
              </a:srgbClr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25670598229164"/>
          <c:y val="5.2948255114320095E-2"/>
          <c:w val="0.86401280752768961"/>
          <c:h val="0.83538739967973319"/>
        </c:manualLayout>
      </c:layout>
      <c:lineChart>
        <c:grouping val="standard"/>
        <c:varyColors val="0"/>
        <c:ser>
          <c:idx val="0"/>
          <c:order val="0"/>
          <c:tx>
            <c:strRef>
              <c:f>'Base Vendas'!$P$35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2060"/>
                </a:solidFill>
              </a:ln>
              <a:effectLst/>
            </c:spPr>
          </c:marker>
          <c:cat>
            <c:strRef>
              <c:f>'Base Vendas'!$Q$1:$AB$1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'Base Vendas'!$Q$35:$AB$35</c:f>
              <c:numCache>
                <c:formatCode>"R$"\ #,##0</c:formatCode>
                <c:ptCount val="12"/>
                <c:pt idx="0">
                  <c:v>8594</c:v>
                </c:pt>
                <c:pt idx="1">
                  <c:v>26915</c:v>
                </c:pt>
                <c:pt idx="2">
                  <c:v>2855</c:v>
                </c:pt>
                <c:pt idx="3">
                  <c:v>9838</c:v>
                </c:pt>
                <c:pt idx="4">
                  <c:v>26763</c:v>
                </c:pt>
                <c:pt idx="5">
                  <c:v>3350</c:v>
                </c:pt>
                <c:pt idx="6">
                  <c:v>5281</c:v>
                </c:pt>
                <c:pt idx="7">
                  <c:v>16709</c:v>
                </c:pt>
                <c:pt idx="8">
                  <c:v>17058</c:v>
                </c:pt>
                <c:pt idx="9">
                  <c:v>2539</c:v>
                </c:pt>
                <c:pt idx="10">
                  <c:v>23299</c:v>
                </c:pt>
                <c:pt idx="11">
                  <c:v>14178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E-43AC-84D6-6E1440FA9160}"/>
            </c:ext>
          </c:extLst>
        </c:ser>
        <c:ser>
          <c:idx val="1"/>
          <c:order val="1"/>
          <c:tx>
            <c:strRef>
              <c:f>'Base Vendas'!$P$36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'Base Vendas'!$Q$1:$AB$1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'Base Vendas'!$Q$36:$AB$36</c:f>
              <c:numCache>
                <c:formatCode>"R$"\ #,##0</c:formatCode>
                <c:ptCount val="12"/>
                <c:pt idx="0">
                  <c:v>18066</c:v>
                </c:pt>
                <c:pt idx="1">
                  <c:v>11607</c:v>
                </c:pt>
                <c:pt idx="2">
                  <c:v>3063</c:v>
                </c:pt>
                <c:pt idx="3">
                  <c:v>10044</c:v>
                </c:pt>
                <c:pt idx="4">
                  <c:v>10074</c:v>
                </c:pt>
                <c:pt idx="5">
                  <c:v>16476</c:v>
                </c:pt>
                <c:pt idx="6">
                  <c:v>20820</c:v>
                </c:pt>
                <c:pt idx="7">
                  <c:v>6470</c:v>
                </c:pt>
                <c:pt idx="8">
                  <c:v>13918</c:v>
                </c:pt>
                <c:pt idx="9">
                  <c:v>9845</c:v>
                </c:pt>
                <c:pt idx="10">
                  <c:v>18552</c:v>
                </c:pt>
                <c:pt idx="11">
                  <c:v>3044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AE-43AC-84D6-6E1440FA9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81900656"/>
        <c:axId val="-781891408"/>
      </c:lineChart>
      <c:catAx>
        <c:axId val="-7819006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781891408"/>
        <c:crosses val="autoZero"/>
        <c:auto val="1"/>
        <c:lblAlgn val="ctr"/>
        <c:lblOffset val="100"/>
        <c:noMultiLvlLbl val="0"/>
      </c:catAx>
      <c:valAx>
        <c:axId val="-781891408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-781900656"/>
        <c:crosses val="autoZero"/>
        <c:crossBetween val="between"/>
        <c:majorUnit val="20000"/>
      </c:valAx>
      <c:dTable>
        <c:showHorzBorder val="1"/>
        <c:showVertBorder val="1"/>
        <c:showOutline val="0"/>
        <c:showKeys val="1"/>
        <c:spPr>
          <a:noFill/>
          <a:ln w="3175" cap="flat" cmpd="sng" algn="ctr">
            <a:solidFill>
              <a:srgbClr val="FFFFFF">
                <a:alpha val="58039"/>
              </a:srgbClr>
            </a:solidFill>
            <a:prstDash val="solid"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'Base Vendas'!$B$28" fmlaRange="'Base Vendas'!$B$3:$B$8" noThreeD="1" sel="2" val="0"/>
</file>

<file path=xl/ctrlProps/ctrlProp2.xml><?xml version="1.0" encoding="utf-8"?>
<formControlPr xmlns="http://schemas.microsoft.com/office/spreadsheetml/2009/9/main" objectType="Drop" dropStyle="combo" dx="16" fmlaLink="'Base Vendas'!$B$29" fmlaRange="'Base Vendas'!$B$3:$B$8" noThreeD="1" sel="5" val="0"/>
</file>

<file path=xl/ctrlProps/ctrlProp3.xml><?xml version="1.0" encoding="utf-8"?>
<formControlPr xmlns="http://schemas.microsoft.com/office/spreadsheetml/2009/9/main" objectType="Drop" dropStyle="combo" dx="16" fmlaLink="'Base Vendas'!$B$27" fmlaRange="'Base Vendas'!$A$27:$A$29" noThreeD="1" sel="1" val="0"/>
</file>

<file path=xl/ctrlProps/ctrlProp4.xml><?xml version="1.0" encoding="utf-8"?>
<formControlPr xmlns="http://schemas.microsoft.com/office/spreadsheetml/2009/9/main" objectType="Spin" dx="22" fmlaLink="$K$9" inc="1000" max="30000" min="1000" page="10" val="21000"/>
</file>

<file path=xl/ctrlProps/ctrlProp5.xml><?xml version="1.0" encoding="utf-8"?>
<formControlPr xmlns="http://schemas.microsoft.com/office/spreadsheetml/2009/9/main" objectType="Drop" dropStyle="combo" dx="16" fmlaLink="'Base Vendas'!$Q$8" fmlaRange="'Base Vendas'!$P$3:$P$5" noThreeD="1" sel="2" val="0"/>
</file>

<file path=xl/ctrlProps/ctrlProp6.xml><?xml version="1.0" encoding="utf-8"?>
<formControlPr xmlns="http://schemas.microsoft.com/office/spreadsheetml/2009/9/main" objectType="Drop" dropStyle="combo" dx="16" fmlaLink="'Base Vendas'!$R$8" fmlaRange="'Base Vendas'!$P$3:$P$5" noThreeD="1" sel="3" val="0"/>
</file>

<file path=xl/ctrlProps/ctrlProp7.xml><?xml version="1.0" encoding="utf-8"?>
<formControlPr xmlns="http://schemas.microsoft.com/office/spreadsheetml/2009/9/main" objectType="Drop" dropStyle="combo" dx="16" fmlaLink="'Base Vendas'!$Q$30" fmlaRange="'Base Vendas'!$P$3:$P$5" noThreeD="1" sel="2" val="0"/>
</file>

<file path=xl/ctrlProps/ctrlProp8.xml><?xml version="1.0" encoding="utf-8"?>
<formControlPr xmlns="http://schemas.microsoft.com/office/spreadsheetml/2009/9/main" objectType="Drop" dropStyle="combo" dx="16" fmlaLink="'Base Vendas'!$R$30" fmlaRange="'Base Vendas'!$P$3:$P$5" noThreeD="1" sel="3" val="0"/>
</file>

<file path=xl/ctrlProps/ctrlProp9.xml><?xml version="1.0" encoding="utf-8"?>
<formControlPr xmlns="http://schemas.microsoft.com/office/spreadsheetml/2009/9/main" objectType="Drop" dropStyle="combo" dx="16" fmlaLink="'Base Vendas'!$Q$15" fmlaRange="'Base Vendas'!$P$3:$P$5" noThreeD="1" sel="2" val="0"/>
</file>

<file path=xl/ctrlProps/ctrlProp10.xml><?xml version="1.0" encoding="utf-8"?>
<formControlPr xmlns="http://schemas.microsoft.com/office/spreadsheetml/2009/9/main" objectType="Drop" dropStyle="combo" dx="16" fmlaLink="'Base Vendas'!$R$15" fmlaRange="'Base Vendas'!$P$3:$P$5" noThreeD="1" sel="3" val="0"/>
</file>

<file path=xl/ctrlProps/ctrlProp11.xml><?xml version="1.0" encoding="utf-8"?>
<formControlPr xmlns="http://schemas.microsoft.com/office/spreadsheetml/2009/9/main" objectType="Drop" dropStyle="combo" dx="16" fmlaLink="'Base Vendas'!$Q$22" fmlaRange="'Base Vendas'!$P$3:$P$5" noThreeD="1" sel="3" val="0"/>
</file>

<file path=xl/ctrlProps/ctrlProp12.xml><?xml version="1.0" encoding="utf-8"?>
<formControlPr xmlns="http://schemas.microsoft.com/office/spreadsheetml/2009/9/main" objectType="Drop" dropStyle="combo" dx="16" fmlaLink="'Base Vendas'!$R$22" fmlaRange="'Base Vendas'!$P$3:$P$5" noThreeD="1" sel="1" val="0"/>
</file>

<file path=xl/ctrlProps/ctrlProp13.xml><?xml version="1.0" encoding="utf-8"?>
<formControlPr xmlns="http://schemas.microsoft.com/office/spreadsheetml/2009/9/main" objectType="Drop" dropStyle="combo" dx="16" fmlaLink="'Base Vendas'!$Q$45" fmlaRange="'Base Vendas'!$P$3:$P$5" noThreeD="1" sel="2" val="0"/>
</file>

<file path=xl/ctrlProps/ctrlProp14.xml><?xml version="1.0" encoding="utf-8"?>
<formControlPr xmlns="http://schemas.microsoft.com/office/spreadsheetml/2009/9/main" objectType="Drop" dropStyle="combo" dx="16" fmlaLink="'Base Vendas'!$R$45" fmlaRange="'Base Vendas'!$P$3:$P$5" noThreeD="1" sel="3" val="0"/>
</file>

<file path=xl/ctrlProps/ctrlProp15.xml><?xml version="1.0" encoding="utf-8"?>
<formControlPr xmlns="http://schemas.microsoft.com/office/spreadsheetml/2009/9/main" objectType="Drop" dropStyle="combo" dx="16" fmlaLink="'Base Vendas'!$Q$37" fmlaRange="'Base Vendas'!$P$3:$P$5" noThreeD="1" sel="1" val="0"/>
</file>

<file path=xl/ctrlProps/ctrlProp16.xml><?xml version="1.0" encoding="utf-8"?>
<formControlPr xmlns="http://schemas.microsoft.com/office/spreadsheetml/2009/9/main" objectType="Drop" dropStyle="combo" dx="16" fmlaLink="'Base Vendas'!$R$37" fmlaRange="'Base Vendas'!$P$3:$P$5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5.png"/><Relationship Id="rId3" Type="http://schemas.openxmlformats.org/officeDocument/2006/relationships/hyperlink" Target="#Guarana!A1"/><Relationship Id="rId7" Type="http://schemas.openxmlformats.org/officeDocument/2006/relationships/image" Target="../media/image1.png"/><Relationship Id="rId12" Type="http://schemas.microsoft.com/office/2007/relationships/hdphoto" Target="../media/hdphoto2.wdp"/><Relationship Id="rId17" Type="http://schemas.openxmlformats.org/officeDocument/2006/relationships/chart" Target="../charts/chart1.xml"/><Relationship Id="rId2" Type="http://schemas.openxmlformats.org/officeDocument/2006/relationships/hyperlink" Target="#Fanta!A1"/><Relationship Id="rId16" Type="http://schemas.microsoft.com/office/2007/relationships/hdphoto" Target="../media/hdphoto4.wdp"/><Relationship Id="rId1" Type="http://schemas.openxmlformats.org/officeDocument/2006/relationships/hyperlink" Target="#'Red Bull'!A1"/><Relationship Id="rId6" Type="http://schemas.openxmlformats.org/officeDocument/2006/relationships/hyperlink" Target="#Sprite!A1"/><Relationship Id="rId11" Type="http://schemas.openxmlformats.org/officeDocument/2006/relationships/image" Target="../media/image4.png"/><Relationship Id="rId5" Type="http://schemas.openxmlformats.org/officeDocument/2006/relationships/hyperlink" Target="#'Coca Cola'!A1"/><Relationship Id="rId15" Type="http://schemas.openxmlformats.org/officeDocument/2006/relationships/image" Target="../media/image6.png"/><Relationship Id="rId10" Type="http://schemas.openxmlformats.org/officeDocument/2006/relationships/image" Target="../media/image3.png"/><Relationship Id="rId4" Type="http://schemas.openxmlformats.org/officeDocument/2006/relationships/hyperlink" Target="#Pepsi!A1"/><Relationship Id="rId9" Type="http://schemas.microsoft.com/office/2007/relationships/hdphoto" Target="../media/hdphoto1.wdp"/><Relationship Id="rId14" Type="http://schemas.microsoft.com/office/2007/relationships/hdphoto" Target="../media/hdphoto3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5.png"/><Relationship Id="rId3" Type="http://schemas.openxmlformats.org/officeDocument/2006/relationships/hyperlink" Target="#Guarana!A1"/><Relationship Id="rId7" Type="http://schemas.openxmlformats.org/officeDocument/2006/relationships/image" Target="../media/image1.png"/><Relationship Id="rId12" Type="http://schemas.microsoft.com/office/2007/relationships/hdphoto" Target="../media/hdphoto2.wdp"/><Relationship Id="rId17" Type="http://schemas.openxmlformats.org/officeDocument/2006/relationships/chart" Target="../charts/chart2.xml"/><Relationship Id="rId2" Type="http://schemas.openxmlformats.org/officeDocument/2006/relationships/hyperlink" Target="#Fanta!A1"/><Relationship Id="rId16" Type="http://schemas.microsoft.com/office/2007/relationships/hdphoto" Target="../media/hdphoto4.wdp"/><Relationship Id="rId1" Type="http://schemas.openxmlformats.org/officeDocument/2006/relationships/hyperlink" Target="#'Red Bull'!A1"/><Relationship Id="rId6" Type="http://schemas.openxmlformats.org/officeDocument/2006/relationships/hyperlink" Target="#'Resumo Gerencial'!A1"/><Relationship Id="rId11" Type="http://schemas.openxmlformats.org/officeDocument/2006/relationships/image" Target="../media/image4.png"/><Relationship Id="rId5" Type="http://schemas.openxmlformats.org/officeDocument/2006/relationships/hyperlink" Target="#'Coca Cola'!A1"/><Relationship Id="rId15" Type="http://schemas.openxmlformats.org/officeDocument/2006/relationships/image" Target="../media/image6.png"/><Relationship Id="rId10" Type="http://schemas.openxmlformats.org/officeDocument/2006/relationships/image" Target="../media/image3.png"/><Relationship Id="rId4" Type="http://schemas.openxmlformats.org/officeDocument/2006/relationships/hyperlink" Target="#Pepsi!A1"/><Relationship Id="rId9" Type="http://schemas.microsoft.com/office/2007/relationships/hdphoto" Target="../media/hdphoto1.wdp"/><Relationship Id="rId14" Type="http://schemas.microsoft.com/office/2007/relationships/hdphoto" Target="../media/hdphoto3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5.png"/><Relationship Id="rId3" Type="http://schemas.openxmlformats.org/officeDocument/2006/relationships/hyperlink" Target="#Guarana!A1"/><Relationship Id="rId7" Type="http://schemas.openxmlformats.org/officeDocument/2006/relationships/image" Target="../media/image1.png"/><Relationship Id="rId12" Type="http://schemas.microsoft.com/office/2007/relationships/hdphoto" Target="../media/hdphoto2.wdp"/><Relationship Id="rId17" Type="http://schemas.openxmlformats.org/officeDocument/2006/relationships/chart" Target="../charts/chart3.xml"/><Relationship Id="rId2" Type="http://schemas.openxmlformats.org/officeDocument/2006/relationships/hyperlink" Target="#Fanta!A1"/><Relationship Id="rId16" Type="http://schemas.microsoft.com/office/2007/relationships/hdphoto" Target="../media/hdphoto4.wdp"/><Relationship Id="rId1" Type="http://schemas.openxmlformats.org/officeDocument/2006/relationships/hyperlink" Target="#'Resumo Gerencial'!A1"/><Relationship Id="rId6" Type="http://schemas.openxmlformats.org/officeDocument/2006/relationships/hyperlink" Target="#Sprite!A1"/><Relationship Id="rId11" Type="http://schemas.openxmlformats.org/officeDocument/2006/relationships/image" Target="../media/image4.png"/><Relationship Id="rId5" Type="http://schemas.openxmlformats.org/officeDocument/2006/relationships/hyperlink" Target="#'Coca Cola'!A1"/><Relationship Id="rId15" Type="http://schemas.openxmlformats.org/officeDocument/2006/relationships/image" Target="../media/image6.png"/><Relationship Id="rId10" Type="http://schemas.openxmlformats.org/officeDocument/2006/relationships/image" Target="../media/image3.png"/><Relationship Id="rId4" Type="http://schemas.openxmlformats.org/officeDocument/2006/relationships/hyperlink" Target="#Pepsi!A1"/><Relationship Id="rId9" Type="http://schemas.microsoft.com/office/2007/relationships/hdphoto" Target="../media/hdphoto1.wdp"/><Relationship Id="rId14" Type="http://schemas.microsoft.com/office/2007/relationships/hdphoto" Target="../media/hdphoto3.wdp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5.png"/><Relationship Id="rId3" Type="http://schemas.openxmlformats.org/officeDocument/2006/relationships/hyperlink" Target="#'Resumo Gerencial'!A1"/><Relationship Id="rId7" Type="http://schemas.openxmlformats.org/officeDocument/2006/relationships/image" Target="../media/image1.png"/><Relationship Id="rId12" Type="http://schemas.microsoft.com/office/2007/relationships/hdphoto" Target="../media/hdphoto2.wdp"/><Relationship Id="rId17" Type="http://schemas.openxmlformats.org/officeDocument/2006/relationships/chart" Target="../charts/chart4.xml"/><Relationship Id="rId2" Type="http://schemas.openxmlformats.org/officeDocument/2006/relationships/hyperlink" Target="#Fanta!A1"/><Relationship Id="rId16" Type="http://schemas.microsoft.com/office/2007/relationships/hdphoto" Target="../media/hdphoto4.wdp"/><Relationship Id="rId1" Type="http://schemas.openxmlformats.org/officeDocument/2006/relationships/hyperlink" Target="#'Red Bull'!A1"/><Relationship Id="rId6" Type="http://schemas.openxmlformats.org/officeDocument/2006/relationships/hyperlink" Target="#Sprite!A1"/><Relationship Id="rId11" Type="http://schemas.openxmlformats.org/officeDocument/2006/relationships/image" Target="../media/image4.png"/><Relationship Id="rId5" Type="http://schemas.openxmlformats.org/officeDocument/2006/relationships/hyperlink" Target="#'Coca Cola'!A1"/><Relationship Id="rId15" Type="http://schemas.openxmlformats.org/officeDocument/2006/relationships/image" Target="../media/image6.png"/><Relationship Id="rId10" Type="http://schemas.openxmlformats.org/officeDocument/2006/relationships/image" Target="../media/image3.png"/><Relationship Id="rId4" Type="http://schemas.openxmlformats.org/officeDocument/2006/relationships/hyperlink" Target="#Pepsi!A1"/><Relationship Id="rId9" Type="http://schemas.microsoft.com/office/2007/relationships/hdphoto" Target="../media/hdphoto1.wdp"/><Relationship Id="rId1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microsoft.com/office/2007/relationships/hdphoto" Target="../media/hdphoto2.wdp"/><Relationship Id="rId18" Type="http://schemas.openxmlformats.org/officeDocument/2006/relationships/chart" Target="../charts/chart5.xml"/><Relationship Id="rId3" Type="http://schemas.openxmlformats.org/officeDocument/2006/relationships/hyperlink" Target="#Guarana!A1"/><Relationship Id="rId7" Type="http://schemas.openxmlformats.org/officeDocument/2006/relationships/image" Target="../media/image1.png"/><Relationship Id="rId12" Type="http://schemas.openxmlformats.org/officeDocument/2006/relationships/image" Target="../media/image4.png"/><Relationship Id="rId17" Type="http://schemas.microsoft.com/office/2007/relationships/hdphoto" Target="../media/hdphoto4.wdp"/><Relationship Id="rId2" Type="http://schemas.openxmlformats.org/officeDocument/2006/relationships/hyperlink" Target="#Fanta!A1"/><Relationship Id="rId16" Type="http://schemas.openxmlformats.org/officeDocument/2006/relationships/image" Target="../media/image6.png"/><Relationship Id="rId1" Type="http://schemas.openxmlformats.org/officeDocument/2006/relationships/hyperlink" Target="#'Red Bull'!A1"/><Relationship Id="rId6" Type="http://schemas.openxmlformats.org/officeDocument/2006/relationships/hyperlink" Target="#Sprite!A1"/><Relationship Id="rId11" Type="http://schemas.microsoft.com/office/2007/relationships/hdphoto" Target="../media/hdphoto5.wdp"/><Relationship Id="rId5" Type="http://schemas.openxmlformats.org/officeDocument/2006/relationships/hyperlink" Target="#'Coca Cola'!A1"/><Relationship Id="rId15" Type="http://schemas.microsoft.com/office/2007/relationships/hdphoto" Target="../media/hdphoto3.wdp"/><Relationship Id="rId10" Type="http://schemas.openxmlformats.org/officeDocument/2006/relationships/image" Target="../media/image7.png"/><Relationship Id="rId4" Type="http://schemas.openxmlformats.org/officeDocument/2006/relationships/hyperlink" Target="#'Resumo Gerencial'!A1"/><Relationship Id="rId9" Type="http://schemas.microsoft.com/office/2007/relationships/hdphoto" Target="../media/hdphoto1.wdp"/><Relationship Id="rId1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microsoft.com/office/2007/relationships/hdphoto" Target="../media/hdphoto3.wdp"/><Relationship Id="rId3" Type="http://schemas.openxmlformats.org/officeDocument/2006/relationships/hyperlink" Target="#Guarana!A1"/><Relationship Id="rId7" Type="http://schemas.openxmlformats.org/officeDocument/2006/relationships/image" Target="../media/image1.png"/><Relationship Id="rId12" Type="http://schemas.openxmlformats.org/officeDocument/2006/relationships/image" Target="../media/image5.png"/><Relationship Id="rId17" Type="http://schemas.openxmlformats.org/officeDocument/2006/relationships/image" Target="../media/image3.png"/><Relationship Id="rId2" Type="http://schemas.openxmlformats.org/officeDocument/2006/relationships/hyperlink" Target="#'Resumo Gerencial'!A1"/><Relationship Id="rId16" Type="http://schemas.openxmlformats.org/officeDocument/2006/relationships/chart" Target="../charts/chart6.xml"/><Relationship Id="rId1" Type="http://schemas.openxmlformats.org/officeDocument/2006/relationships/hyperlink" Target="#'Red Bull'!A1"/><Relationship Id="rId6" Type="http://schemas.openxmlformats.org/officeDocument/2006/relationships/hyperlink" Target="#Sprite!A1"/><Relationship Id="rId11" Type="http://schemas.microsoft.com/office/2007/relationships/hdphoto" Target="../media/hdphoto2.wdp"/><Relationship Id="rId5" Type="http://schemas.openxmlformats.org/officeDocument/2006/relationships/hyperlink" Target="#'Coca Cola'!A1"/><Relationship Id="rId15" Type="http://schemas.microsoft.com/office/2007/relationships/hdphoto" Target="../media/hdphoto4.wdp"/><Relationship Id="rId10" Type="http://schemas.openxmlformats.org/officeDocument/2006/relationships/image" Target="../media/image4.png"/><Relationship Id="rId4" Type="http://schemas.openxmlformats.org/officeDocument/2006/relationships/hyperlink" Target="#Pepsi!A1"/><Relationship Id="rId9" Type="http://schemas.microsoft.com/office/2007/relationships/hdphoto" Target="../media/hdphoto1.wdp"/><Relationship Id="rId14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microsoft.com/office/2007/relationships/hdphoto" Target="../media/hdphoto3.wdp"/><Relationship Id="rId3" Type="http://schemas.openxmlformats.org/officeDocument/2006/relationships/hyperlink" Target="#Guarana!A1"/><Relationship Id="rId7" Type="http://schemas.openxmlformats.org/officeDocument/2006/relationships/image" Target="../media/image1.png"/><Relationship Id="rId12" Type="http://schemas.openxmlformats.org/officeDocument/2006/relationships/image" Target="../media/image5.png"/><Relationship Id="rId17" Type="http://schemas.openxmlformats.org/officeDocument/2006/relationships/image" Target="../media/image3.png"/><Relationship Id="rId2" Type="http://schemas.openxmlformats.org/officeDocument/2006/relationships/hyperlink" Target="#Fanta!A1"/><Relationship Id="rId16" Type="http://schemas.openxmlformats.org/officeDocument/2006/relationships/chart" Target="../charts/chart7.xml"/><Relationship Id="rId1" Type="http://schemas.openxmlformats.org/officeDocument/2006/relationships/hyperlink" Target="#'Red Bull'!A1"/><Relationship Id="rId6" Type="http://schemas.openxmlformats.org/officeDocument/2006/relationships/hyperlink" Target="#Sprite!A1"/><Relationship Id="rId11" Type="http://schemas.microsoft.com/office/2007/relationships/hdphoto" Target="../media/hdphoto2.wdp"/><Relationship Id="rId5" Type="http://schemas.openxmlformats.org/officeDocument/2006/relationships/hyperlink" Target="#'Resumo Gerencial'!A1"/><Relationship Id="rId15" Type="http://schemas.microsoft.com/office/2007/relationships/hdphoto" Target="../media/hdphoto4.wdp"/><Relationship Id="rId10" Type="http://schemas.openxmlformats.org/officeDocument/2006/relationships/image" Target="../media/image4.png"/><Relationship Id="rId4" Type="http://schemas.openxmlformats.org/officeDocument/2006/relationships/hyperlink" Target="#Pepsi!A1"/><Relationship Id="rId9" Type="http://schemas.microsoft.com/office/2007/relationships/hdphoto" Target="../media/hdphoto1.wdp"/><Relationship Id="rId1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166255</xdr:colOff>
      <xdr:row>6</xdr:row>
      <xdr:rowOff>183572</xdr:rowOff>
    </xdr:from>
    <xdr:to>
      <xdr:col>8</xdr:col>
      <xdr:colOff>1110096</xdr:colOff>
      <xdr:row>8</xdr:row>
      <xdr:rowOff>27708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569778" y="1118754"/>
          <a:ext cx="1186295" cy="225136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Play" panose="020B0000000000000000" pitchFamily="34" charset="0"/>
            </a:rPr>
            <a:t>ANO ANÁLISE</a:t>
          </a:r>
        </a:p>
      </xdr:txBody>
    </xdr:sp>
    <xdr:clientData/>
  </xdr:twoCellAnchor>
  <xdr:twoCellAnchor>
    <xdr:from>
      <xdr:col>3</xdr:col>
      <xdr:colOff>181841</xdr:colOff>
      <xdr:row>6</xdr:row>
      <xdr:rowOff>190499</xdr:rowOff>
    </xdr:from>
    <xdr:to>
      <xdr:col>5</xdr:col>
      <xdr:colOff>0</xdr:colOff>
      <xdr:row>8</xdr:row>
      <xdr:rowOff>34635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849091" y="1125681"/>
          <a:ext cx="1186295" cy="225136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Play" panose="020B0000000000000000" pitchFamily="34" charset="0"/>
            </a:rPr>
            <a:t>BEBIDA</a:t>
          </a:r>
          <a:r>
            <a:rPr lang="pt-BR" sz="1100" b="1" baseline="0">
              <a:latin typeface="Play" panose="020B0000000000000000" pitchFamily="34" charset="0"/>
            </a:rPr>
            <a:t> 1</a:t>
          </a:r>
          <a:endParaRPr lang="pt-BR" sz="1100" b="1">
            <a:latin typeface="Play" panose="020B0000000000000000" pitchFamily="34" charset="0"/>
          </a:endParaRPr>
        </a:p>
      </xdr:txBody>
    </xdr:sp>
    <xdr:clientData/>
  </xdr:twoCellAnchor>
  <xdr:twoCellAnchor>
    <xdr:from>
      <xdr:col>5</xdr:col>
      <xdr:colOff>169719</xdr:colOff>
      <xdr:row>7</xdr:row>
      <xdr:rowOff>5195</xdr:rowOff>
    </xdr:from>
    <xdr:to>
      <xdr:col>6</xdr:col>
      <xdr:colOff>1113559</xdr:colOff>
      <xdr:row>8</xdr:row>
      <xdr:rowOff>39831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05105" y="1130877"/>
          <a:ext cx="1186295" cy="225136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Play" panose="020B0000000000000000" pitchFamily="34" charset="0"/>
            </a:rPr>
            <a:t>BEBIDA</a:t>
          </a:r>
          <a:r>
            <a:rPr lang="pt-BR" sz="1100" b="1" baseline="0">
              <a:latin typeface="Play" panose="020B0000000000000000" pitchFamily="34" charset="0"/>
            </a:rPr>
            <a:t> 1</a:t>
          </a:r>
          <a:endParaRPr lang="pt-BR" sz="1100" b="1">
            <a:latin typeface="Play" panose="020B0000000000000000" pitchFamily="34" charset="0"/>
          </a:endParaRPr>
        </a:p>
      </xdr:txBody>
    </xdr:sp>
    <xdr:clientData/>
  </xdr:twoCellAnchor>
  <xdr:twoCellAnchor>
    <xdr:from>
      <xdr:col>1</xdr:col>
      <xdr:colOff>108264</xdr:colOff>
      <xdr:row>12</xdr:row>
      <xdr:rowOff>131811</xdr:rowOff>
    </xdr:from>
    <xdr:to>
      <xdr:col>1</xdr:col>
      <xdr:colOff>1956640</xdr:colOff>
      <xdr:row>17</xdr:row>
      <xdr:rowOff>188384</xdr:rowOff>
    </xdr:to>
    <xdr:sp macro="" textlink="">
      <xdr:nvSpPr>
        <xdr:cNvPr id="95" name="Retângulo 9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55889" y="2408286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18</xdr:row>
      <xdr:rowOff>112761</xdr:rowOff>
    </xdr:from>
    <xdr:to>
      <xdr:col>1</xdr:col>
      <xdr:colOff>1956640</xdr:colOff>
      <xdr:row>23</xdr:row>
      <xdr:rowOff>169334</xdr:rowOff>
    </xdr:to>
    <xdr:sp macro="" textlink="">
      <xdr:nvSpPr>
        <xdr:cNvPr id="96" name="Retângulo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55889" y="3532236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6</xdr:row>
      <xdr:rowOff>179436</xdr:rowOff>
    </xdr:from>
    <xdr:to>
      <xdr:col>2</xdr:col>
      <xdr:colOff>394540</xdr:colOff>
      <xdr:row>12</xdr:row>
      <xdr:rowOff>45509</xdr:rowOff>
    </xdr:to>
    <xdr:sp macro="" textlink="">
      <xdr:nvSpPr>
        <xdr:cNvPr id="97" name="Retângulo 9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089464" y="1303386"/>
          <a:ext cx="1848376" cy="1018598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12</xdr:row>
      <xdr:rowOff>141336</xdr:rowOff>
    </xdr:from>
    <xdr:to>
      <xdr:col>2</xdr:col>
      <xdr:colOff>394540</xdr:colOff>
      <xdr:row>18</xdr:row>
      <xdr:rowOff>7409</xdr:rowOff>
    </xdr:to>
    <xdr:sp macro="" textlink="">
      <xdr:nvSpPr>
        <xdr:cNvPr id="98" name="Retângulo 9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2089464" y="2417811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18</xdr:row>
      <xdr:rowOff>122286</xdr:rowOff>
    </xdr:from>
    <xdr:to>
      <xdr:col>2</xdr:col>
      <xdr:colOff>394540</xdr:colOff>
      <xdr:row>23</xdr:row>
      <xdr:rowOff>178859</xdr:rowOff>
    </xdr:to>
    <xdr:sp macro="" textlink="">
      <xdr:nvSpPr>
        <xdr:cNvPr id="99" name="Retângulo 9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2089464" y="3541761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6</xdr:row>
      <xdr:rowOff>169911</xdr:rowOff>
    </xdr:from>
    <xdr:to>
      <xdr:col>1</xdr:col>
      <xdr:colOff>1956640</xdr:colOff>
      <xdr:row>12</xdr:row>
      <xdr:rowOff>35984</xdr:rowOff>
    </xdr:to>
    <xdr:sp macro="" textlink="">
      <xdr:nvSpPr>
        <xdr:cNvPr id="76" name="Retângulo 7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>
          <a:off x="155889" y="1293861"/>
          <a:ext cx="1848376" cy="1018598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255277</xdr:colOff>
      <xdr:row>7</xdr:row>
      <xdr:rowOff>77891</xdr:rowOff>
    </xdr:from>
    <xdr:to>
      <xdr:col>1</xdr:col>
      <xdr:colOff>1846791</xdr:colOff>
      <xdr:row>11</xdr:row>
      <xdr:rowOff>102200</xdr:rowOff>
    </xdr:to>
    <xdr:pic>
      <xdr:nvPicPr>
        <xdr:cNvPr id="9" name="Imagem 8" descr="Resultado de imagem para sprite log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902" y="1392341"/>
          <a:ext cx="1591514" cy="7958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</xdr:row>
      <xdr:rowOff>34637</xdr:rowOff>
    </xdr:from>
    <xdr:to>
      <xdr:col>13</xdr:col>
      <xdr:colOff>0</xdr:colOff>
      <xdr:row>4</xdr:row>
      <xdr:rowOff>133350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 rot="10800000" flipV="1">
          <a:off x="0" y="206087"/>
          <a:ext cx="11449050" cy="47971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tx2"/>
              </a:solidFill>
              <a:latin typeface="Play" panose="020B0000000000000000" pitchFamily="34" charset="0"/>
            </a:rPr>
            <a:t>RESUMO</a:t>
          </a:r>
          <a:r>
            <a:rPr lang="pt-BR" sz="2400" baseline="0">
              <a:solidFill>
                <a:schemeClr val="tx2"/>
              </a:solidFill>
              <a:latin typeface="Play" panose="020B0000000000000000" pitchFamily="34" charset="0"/>
            </a:rPr>
            <a:t> COMPARATIVO DE VENDA DE BEBIDAS NÃO ALCOÓLICAS</a:t>
          </a:r>
          <a:endParaRPr lang="pt-BR" sz="2400">
            <a:solidFill>
              <a:schemeClr val="tx2"/>
            </a:solidFill>
            <a:latin typeface="Play" panose="020B0000000000000000" pitchFamily="34" charset="0"/>
          </a:endParaRPr>
        </a:p>
      </xdr:txBody>
    </xdr:sp>
    <xdr:clientData/>
  </xdr:twoCellAnchor>
  <xdr:twoCellAnchor editAs="oneCell">
    <xdr:from>
      <xdr:col>1</xdr:col>
      <xdr:colOff>2235347</xdr:colOff>
      <xdr:row>19</xdr:row>
      <xdr:rowOff>183655</xdr:rowOff>
    </xdr:from>
    <xdr:to>
      <xdr:col>2</xdr:col>
      <xdr:colOff>248708</xdr:colOff>
      <xdr:row>22</xdr:row>
      <xdr:rowOff>131410</xdr:rowOff>
    </xdr:to>
    <xdr:pic>
      <xdr:nvPicPr>
        <xdr:cNvPr id="6" name="Imagem 5" descr="Resultado de imagem para coca log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0" b="100000" l="0" r="100000">
                      <a14:foregroundMark x1="6689" y1="50121" x2="7875" y2="22760"/>
                      <a14:foregroundMark x1="15326" y1="63680" x2="12193" y2="59080"/>
                      <a14:foregroundMark x1="49619" y1="54479" x2="51990" y2="42131"/>
                      <a14:foregroundMark x1="49958" y1="35351" x2="48010" y2="3293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2972" y="3793630"/>
          <a:ext cx="1509037" cy="519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2310957</xdr:colOff>
      <xdr:row>14</xdr:row>
      <xdr:rowOff>2405</xdr:rowOff>
    </xdr:from>
    <xdr:to>
      <xdr:col>2</xdr:col>
      <xdr:colOff>225642</xdr:colOff>
      <xdr:row>16</xdr:row>
      <xdr:rowOff>169333</xdr:rowOff>
    </xdr:to>
    <xdr:pic>
      <xdr:nvPicPr>
        <xdr:cNvPr id="5" name="Imagem 4" descr="Resultado de imagem para coca log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82" y="2659880"/>
          <a:ext cx="1410361" cy="547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2383324</xdr:colOff>
      <xdr:row>7</xdr:row>
      <xdr:rowOff>115421</xdr:rowOff>
    </xdr:from>
    <xdr:to>
      <xdr:col>2</xdr:col>
      <xdr:colOff>73480</xdr:colOff>
      <xdr:row>11</xdr:row>
      <xdr:rowOff>100544</xdr:rowOff>
    </xdr:to>
    <xdr:pic>
      <xdr:nvPicPr>
        <xdr:cNvPr id="4" name="Imagem 3" descr="Resultado de imagem para guarana log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3733" b="92691" l="0" r="100000">
                      <a14:foregroundMark x1="12850" y1="56532" x2="78750" y2="42068"/>
                      <a14:foregroundMark x1="76400" y1="84059" x2="11450" y2="81882"/>
                      <a14:foregroundMark x1="89400" y1="68818" x2="21700" y2="67418"/>
                      <a14:foregroundMark x1="58800" y1="58009" x2="28150" y2="33359"/>
                      <a14:foregroundMark x1="20750" y1="75350" x2="20750" y2="39891"/>
                      <a14:foregroundMark x1="57850" y1="57232" x2="83850" y2="493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0949" y="1429871"/>
          <a:ext cx="1185832" cy="756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447286</xdr:colOff>
      <xdr:row>12</xdr:row>
      <xdr:rowOff>99917</xdr:rowOff>
    </xdr:from>
    <xdr:to>
      <xdr:col>1</xdr:col>
      <xdr:colOff>1541991</xdr:colOff>
      <xdr:row>18</xdr:row>
      <xdr:rowOff>36341</xdr:rowOff>
    </xdr:to>
    <xdr:pic>
      <xdr:nvPicPr>
        <xdr:cNvPr id="14" name="Imagem 13" descr="Resultado de imagem para red bu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953" b="100000" l="0" r="100000">
                      <a14:foregroundMark x1="15039" y1="68164" x2="18359" y2="72461"/>
                      <a14:foregroundMark x1="26172" y1="69531" x2="30078" y2="68164"/>
                      <a14:foregroundMark x1="40820" y1="65625" x2="45313" y2="66406"/>
                      <a14:foregroundMark x1="56445" y1="67188" x2="55469" y2="58398"/>
                      <a14:foregroundMark x1="71875" y1="71484" x2="70313" y2="65234"/>
                      <a14:foregroundMark x1="84961" y1="70117" x2="84766" y2="62695"/>
                      <a14:foregroundMark x1="89648" y1="66211" x2="89453" y2="58789"/>
                      <a14:backgroundMark x1="27539" y1="66211" x2="25977" y2="662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911" y="2376392"/>
          <a:ext cx="1094705" cy="107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586623</xdr:colOff>
      <xdr:row>19</xdr:row>
      <xdr:rowOff>87652</xdr:rowOff>
    </xdr:from>
    <xdr:to>
      <xdr:col>1</xdr:col>
      <xdr:colOff>1438472</xdr:colOff>
      <xdr:row>23</xdr:row>
      <xdr:rowOff>2117</xdr:rowOff>
    </xdr:to>
    <xdr:pic>
      <xdr:nvPicPr>
        <xdr:cNvPr id="7" name="Imagem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34248" y="3697627"/>
          <a:ext cx="851849" cy="6764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19050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</xdr:rowOff>
        </xdr:from>
        <xdr:to>
          <xdr:col>7</xdr:col>
          <xdr:colOff>9525</xdr:colOff>
          <xdr:row>9</xdr:row>
          <xdr:rowOff>9525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638174</xdr:colOff>
      <xdr:row>9</xdr:row>
      <xdr:rowOff>171450</xdr:rowOff>
    </xdr:from>
    <xdr:to>
      <xdr:col>11</xdr:col>
      <xdr:colOff>1228725</xdr:colOff>
      <xdr:row>24</xdr:row>
      <xdr:rowOff>47625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1045" name="Drop Dow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171450</xdr:rowOff>
        </xdr:from>
        <xdr:to>
          <xdr:col>11</xdr:col>
          <xdr:colOff>266700</xdr:colOff>
          <xdr:row>9</xdr:row>
          <xdr:rowOff>0</xdr:rowOff>
        </xdr:to>
        <xdr:sp macro="" textlink="">
          <xdr:nvSpPr>
            <xdr:cNvPr id="1046" name="Spinner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180111</xdr:colOff>
      <xdr:row>7</xdr:row>
      <xdr:rowOff>15585</xdr:rowOff>
    </xdr:from>
    <xdr:to>
      <xdr:col>10</xdr:col>
      <xdr:colOff>1065068</xdr:colOff>
      <xdr:row>8</xdr:row>
      <xdr:rowOff>50221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8951770" y="1141267"/>
          <a:ext cx="1127412" cy="225136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Play" panose="020B0000000000000000" pitchFamily="34" charset="0"/>
            </a:rPr>
            <a:t>META VENDA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169717</xdr:colOff>
      <xdr:row>6</xdr:row>
      <xdr:rowOff>178378</xdr:rowOff>
    </xdr:from>
    <xdr:to>
      <xdr:col>8</xdr:col>
      <xdr:colOff>1113558</xdr:colOff>
      <xdr:row>8</xdr:row>
      <xdr:rowOff>22514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99217" y="1113560"/>
          <a:ext cx="1186296" cy="22513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accent2"/>
              </a:solidFill>
              <a:latin typeface="Play" panose="020B0000000000000000" pitchFamily="34" charset="0"/>
            </a:rPr>
            <a:t>ANO 2</a:t>
          </a:r>
        </a:p>
      </xdr:txBody>
    </xdr:sp>
    <xdr:clientData/>
  </xdr:twoCellAnchor>
  <xdr:twoCellAnchor>
    <xdr:from>
      <xdr:col>5</xdr:col>
      <xdr:colOff>181841</xdr:colOff>
      <xdr:row>6</xdr:row>
      <xdr:rowOff>164523</xdr:rowOff>
    </xdr:from>
    <xdr:to>
      <xdr:col>6</xdr:col>
      <xdr:colOff>1125681</xdr:colOff>
      <xdr:row>8</xdr:row>
      <xdr:rowOff>8659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243205" y="1099705"/>
          <a:ext cx="1186294" cy="22513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2060"/>
              </a:solidFill>
              <a:latin typeface="Play" panose="020B0000000000000000" pitchFamily="34" charset="0"/>
            </a:rPr>
            <a:t>ANO 1</a:t>
          </a:r>
        </a:p>
      </xdr:txBody>
    </xdr:sp>
    <xdr:clientData/>
  </xdr:twoCellAnchor>
  <xdr:twoCellAnchor>
    <xdr:from>
      <xdr:col>1</xdr:col>
      <xdr:colOff>108264</xdr:colOff>
      <xdr:row>12</xdr:row>
      <xdr:rowOff>131811</xdr:rowOff>
    </xdr:from>
    <xdr:to>
      <xdr:col>1</xdr:col>
      <xdr:colOff>1956640</xdr:colOff>
      <xdr:row>17</xdr:row>
      <xdr:rowOff>188384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55889" y="2217786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18</xdr:row>
      <xdr:rowOff>112761</xdr:rowOff>
    </xdr:from>
    <xdr:to>
      <xdr:col>1</xdr:col>
      <xdr:colOff>1956640</xdr:colOff>
      <xdr:row>23</xdr:row>
      <xdr:rowOff>169334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5889" y="3341736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6</xdr:row>
      <xdr:rowOff>179436</xdr:rowOff>
    </xdr:from>
    <xdr:to>
      <xdr:col>2</xdr:col>
      <xdr:colOff>394540</xdr:colOff>
      <xdr:row>12</xdr:row>
      <xdr:rowOff>45509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089464" y="1112886"/>
          <a:ext cx="1848376" cy="1018598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12</xdr:row>
      <xdr:rowOff>141336</xdr:rowOff>
    </xdr:from>
    <xdr:to>
      <xdr:col>2</xdr:col>
      <xdr:colOff>394540</xdr:colOff>
      <xdr:row>18</xdr:row>
      <xdr:rowOff>7409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89464" y="2227311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18</xdr:row>
      <xdr:rowOff>122286</xdr:rowOff>
    </xdr:from>
    <xdr:to>
      <xdr:col>2</xdr:col>
      <xdr:colOff>394540</xdr:colOff>
      <xdr:row>23</xdr:row>
      <xdr:rowOff>178859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089464" y="3351261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6</xdr:row>
      <xdr:rowOff>169911</xdr:rowOff>
    </xdr:from>
    <xdr:to>
      <xdr:col>1</xdr:col>
      <xdr:colOff>1956640</xdr:colOff>
      <xdr:row>12</xdr:row>
      <xdr:rowOff>35984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55889" y="1103361"/>
          <a:ext cx="1848376" cy="1018598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255277</xdr:colOff>
      <xdr:row>7</xdr:row>
      <xdr:rowOff>77891</xdr:rowOff>
    </xdr:from>
    <xdr:to>
      <xdr:col>1</xdr:col>
      <xdr:colOff>1846791</xdr:colOff>
      <xdr:row>11</xdr:row>
      <xdr:rowOff>102200</xdr:rowOff>
    </xdr:to>
    <xdr:pic>
      <xdr:nvPicPr>
        <xdr:cNvPr id="8" name="Imagem 7" descr="Resultado de imagem para sprite log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902" y="1201841"/>
          <a:ext cx="1591514" cy="7958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</xdr:row>
      <xdr:rowOff>34637</xdr:rowOff>
    </xdr:from>
    <xdr:to>
      <xdr:col>13</xdr:col>
      <xdr:colOff>0</xdr:colOff>
      <xdr:row>4</xdr:row>
      <xdr:rowOff>133350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 flipV="1">
          <a:off x="0" y="206087"/>
          <a:ext cx="11582400" cy="479713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Play" panose="020B0000000000000000" pitchFamily="34" charset="0"/>
            </a:rPr>
            <a:t>RESUMO</a:t>
          </a:r>
          <a:r>
            <a:rPr lang="pt-BR" sz="2400" baseline="0">
              <a:solidFill>
                <a:schemeClr val="bg1"/>
              </a:solidFill>
              <a:latin typeface="Play" panose="020B0000000000000000" pitchFamily="34" charset="0"/>
            </a:rPr>
            <a:t> COMPARATIVO DE VENDA DE BEBIDAS NÃO ALCOÓLICAS</a:t>
          </a:r>
          <a:endParaRPr lang="pt-BR" sz="2400">
            <a:solidFill>
              <a:schemeClr val="bg1"/>
            </a:solidFill>
            <a:latin typeface="Play" panose="020B0000000000000000" pitchFamily="34" charset="0"/>
          </a:endParaRPr>
        </a:p>
      </xdr:txBody>
    </xdr:sp>
    <xdr:clientData/>
  </xdr:twoCellAnchor>
  <xdr:twoCellAnchor editAs="oneCell">
    <xdr:from>
      <xdr:col>1</xdr:col>
      <xdr:colOff>2235347</xdr:colOff>
      <xdr:row>19</xdr:row>
      <xdr:rowOff>183655</xdr:rowOff>
    </xdr:from>
    <xdr:to>
      <xdr:col>2</xdr:col>
      <xdr:colOff>248708</xdr:colOff>
      <xdr:row>22</xdr:row>
      <xdr:rowOff>131410</xdr:rowOff>
    </xdr:to>
    <xdr:pic>
      <xdr:nvPicPr>
        <xdr:cNvPr id="10" name="Imagem 9" descr="Resultado de imagem para coca log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0" b="100000" l="0" r="100000">
                      <a14:foregroundMark x1="6689" y1="50121" x2="7875" y2="22760"/>
                      <a14:foregroundMark x1="15326" y1="63680" x2="12193" y2="59080"/>
                      <a14:foregroundMark x1="49619" y1="54479" x2="51990" y2="42131"/>
                      <a14:foregroundMark x1="49958" y1="35351" x2="48010" y2="3293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2972" y="3603130"/>
          <a:ext cx="1509037" cy="519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2310957</xdr:colOff>
      <xdr:row>14</xdr:row>
      <xdr:rowOff>2405</xdr:rowOff>
    </xdr:from>
    <xdr:to>
      <xdr:col>2</xdr:col>
      <xdr:colOff>225642</xdr:colOff>
      <xdr:row>16</xdr:row>
      <xdr:rowOff>169333</xdr:rowOff>
    </xdr:to>
    <xdr:pic>
      <xdr:nvPicPr>
        <xdr:cNvPr id="11" name="Imagem 10" descr="Resultado de imagem para coca log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82" y="2469380"/>
          <a:ext cx="1410361" cy="547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2383324</xdr:colOff>
      <xdr:row>7</xdr:row>
      <xdr:rowOff>115421</xdr:rowOff>
    </xdr:from>
    <xdr:to>
      <xdr:col>2</xdr:col>
      <xdr:colOff>73480</xdr:colOff>
      <xdr:row>11</xdr:row>
      <xdr:rowOff>100544</xdr:rowOff>
    </xdr:to>
    <xdr:pic>
      <xdr:nvPicPr>
        <xdr:cNvPr id="12" name="Imagem 11" descr="Resultado de imagem para guarana log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3733" b="92691" l="0" r="100000">
                      <a14:foregroundMark x1="12850" y1="56532" x2="78750" y2="42068"/>
                      <a14:foregroundMark x1="76400" y1="84059" x2="11450" y2="81882"/>
                      <a14:foregroundMark x1="89400" y1="68818" x2="21700" y2="67418"/>
                      <a14:foregroundMark x1="58800" y1="58009" x2="28150" y2="33359"/>
                      <a14:foregroundMark x1="20750" y1="75350" x2="20750" y2="39891"/>
                      <a14:foregroundMark x1="57850" y1="57232" x2="83850" y2="493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0949" y="1239371"/>
          <a:ext cx="1185832" cy="756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447286</xdr:colOff>
      <xdr:row>12</xdr:row>
      <xdr:rowOff>99917</xdr:rowOff>
    </xdr:from>
    <xdr:to>
      <xdr:col>1</xdr:col>
      <xdr:colOff>1541991</xdr:colOff>
      <xdr:row>18</xdr:row>
      <xdr:rowOff>36341</xdr:rowOff>
    </xdr:to>
    <xdr:pic>
      <xdr:nvPicPr>
        <xdr:cNvPr id="13" name="Imagem 12" descr="Resultado de imagem para red bu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953" b="100000" l="0" r="100000">
                      <a14:foregroundMark x1="15039" y1="68164" x2="18359" y2="72461"/>
                      <a14:foregroundMark x1="26172" y1="69531" x2="30078" y2="68164"/>
                      <a14:foregroundMark x1="40820" y1="65625" x2="45313" y2="66406"/>
                      <a14:foregroundMark x1="56445" y1="67188" x2="55469" y2="58398"/>
                      <a14:foregroundMark x1="71875" y1="71484" x2="70313" y2="65234"/>
                      <a14:foregroundMark x1="84961" y1="70117" x2="84766" y2="62695"/>
                      <a14:foregroundMark x1="89648" y1="66211" x2="89453" y2="58789"/>
                      <a14:backgroundMark x1="27539" y1="66211" x2="25977" y2="662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911" y="2185892"/>
          <a:ext cx="1094705" cy="107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586623</xdr:colOff>
      <xdr:row>19</xdr:row>
      <xdr:rowOff>87652</xdr:rowOff>
    </xdr:from>
    <xdr:to>
      <xdr:col>1</xdr:col>
      <xdr:colOff>1438472</xdr:colOff>
      <xdr:row>23</xdr:row>
      <xdr:rowOff>2117</xdr:rowOff>
    </xdr:to>
    <xdr:pic>
      <xdr:nvPicPr>
        <xdr:cNvPr id="14" name="Imagem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34248" y="3507127"/>
          <a:ext cx="851849" cy="676465"/>
        </a:xfrm>
        <a:prstGeom prst="rect">
          <a:avLst/>
        </a:prstGeom>
      </xdr:spPr>
    </xdr:pic>
    <xdr:clientData/>
  </xdr:twoCellAnchor>
  <xdr:twoCellAnchor>
    <xdr:from>
      <xdr:col>2</xdr:col>
      <xdr:colOff>638174</xdr:colOff>
      <xdr:row>9</xdr:row>
      <xdr:rowOff>171450</xdr:rowOff>
    </xdr:from>
    <xdr:to>
      <xdr:col>11</xdr:col>
      <xdr:colOff>1228725</xdr:colOff>
      <xdr:row>24</xdr:row>
      <xdr:rowOff>47625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171450</xdr:rowOff>
        </xdr:from>
        <xdr:to>
          <xdr:col>6</xdr:col>
          <xdr:colOff>1114425</xdr:colOff>
          <xdr:row>8</xdr:row>
          <xdr:rowOff>190500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171450</xdr:rowOff>
        </xdr:from>
        <xdr:to>
          <xdr:col>8</xdr:col>
          <xdr:colOff>1114425</xdr:colOff>
          <xdr:row>8</xdr:row>
          <xdr:rowOff>190500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169717</xdr:colOff>
      <xdr:row>6</xdr:row>
      <xdr:rowOff>178377</xdr:rowOff>
    </xdr:from>
    <xdr:to>
      <xdr:col>8</xdr:col>
      <xdr:colOff>1113558</xdr:colOff>
      <xdr:row>8</xdr:row>
      <xdr:rowOff>22513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7573240" y="1113559"/>
          <a:ext cx="1186295" cy="22513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accent2"/>
              </a:solidFill>
              <a:latin typeface="Play" panose="020B0000000000000000" pitchFamily="34" charset="0"/>
            </a:rPr>
            <a:t>ANO 2</a:t>
          </a:r>
        </a:p>
      </xdr:txBody>
    </xdr:sp>
    <xdr:clientData/>
  </xdr:twoCellAnchor>
  <xdr:twoCellAnchor>
    <xdr:from>
      <xdr:col>5</xdr:col>
      <xdr:colOff>181841</xdr:colOff>
      <xdr:row>6</xdr:row>
      <xdr:rowOff>164522</xdr:rowOff>
    </xdr:from>
    <xdr:to>
      <xdr:col>6</xdr:col>
      <xdr:colOff>1125681</xdr:colOff>
      <xdr:row>8</xdr:row>
      <xdr:rowOff>8658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6217227" y="1099704"/>
          <a:ext cx="1186295" cy="22513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2060"/>
              </a:solidFill>
              <a:latin typeface="Play" panose="020B0000000000000000" pitchFamily="34" charset="0"/>
            </a:rPr>
            <a:t>ANO 1</a:t>
          </a:r>
        </a:p>
      </xdr:txBody>
    </xdr:sp>
    <xdr:clientData/>
  </xdr:twoCellAnchor>
  <xdr:twoCellAnchor>
    <xdr:from>
      <xdr:col>1</xdr:col>
      <xdr:colOff>108264</xdr:colOff>
      <xdr:row>12</xdr:row>
      <xdr:rowOff>131811</xdr:rowOff>
    </xdr:from>
    <xdr:to>
      <xdr:col>1</xdr:col>
      <xdr:colOff>1956640</xdr:colOff>
      <xdr:row>17</xdr:row>
      <xdr:rowOff>188384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5889" y="2217786"/>
          <a:ext cx="1848376" cy="1009073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18</xdr:row>
      <xdr:rowOff>112761</xdr:rowOff>
    </xdr:from>
    <xdr:to>
      <xdr:col>1</xdr:col>
      <xdr:colOff>1956640</xdr:colOff>
      <xdr:row>23</xdr:row>
      <xdr:rowOff>169334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5889" y="3341736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6</xdr:row>
      <xdr:rowOff>179436</xdr:rowOff>
    </xdr:from>
    <xdr:to>
      <xdr:col>2</xdr:col>
      <xdr:colOff>394540</xdr:colOff>
      <xdr:row>12</xdr:row>
      <xdr:rowOff>45509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89464" y="1112886"/>
          <a:ext cx="1848376" cy="1018598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12</xdr:row>
      <xdr:rowOff>141336</xdr:rowOff>
    </xdr:from>
    <xdr:to>
      <xdr:col>2</xdr:col>
      <xdr:colOff>394540</xdr:colOff>
      <xdr:row>18</xdr:row>
      <xdr:rowOff>7409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89464" y="2227311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18</xdr:row>
      <xdr:rowOff>122286</xdr:rowOff>
    </xdr:from>
    <xdr:to>
      <xdr:col>2</xdr:col>
      <xdr:colOff>394540</xdr:colOff>
      <xdr:row>23</xdr:row>
      <xdr:rowOff>178859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089464" y="3351261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6</xdr:row>
      <xdr:rowOff>169911</xdr:rowOff>
    </xdr:from>
    <xdr:to>
      <xdr:col>1</xdr:col>
      <xdr:colOff>1956640</xdr:colOff>
      <xdr:row>12</xdr:row>
      <xdr:rowOff>35984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55889" y="1103361"/>
          <a:ext cx="1848376" cy="1018598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255277</xdr:colOff>
      <xdr:row>7</xdr:row>
      <xdr:rowOff>77891</xdr:rowOff>
    </xdr:from>
    <xdr:to>
      <xdr:col>1</xdr:col>
      <xdr:colOff>1846791</xdr:colOff>
      <xdr:row>11</xdr:row>
      <xdr:rowOff>102200</xdr:rowOff>
    </xdr:to>
    <xdr:pic>
      <xdr:nvPicPr>
        <xdr:cNvPr id="8" name="Imagem 7" descr="Resultado de imagem para sprite log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902" y="1201841"/>
          <a:ext cx="1591514" cy="7958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</xdr:row>
      <xdr:rowOff>34637</xdr:rowOff>
    </xdr:from>
    <xdr:to>
      <xdr:col>13</xdr:col>
      <xdr:colOff>0</xdr:colOff>
      <xdr:row>4</xdr:row>
      <xdr:rowOff>133350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 flipV="1">
          <a:off x="0" y="207819"/>
          <a:ext cx="11620500" cy="479713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Play" panose="020B0000000000000000" pitchFamily="34" charset="0"/>
            </a:rPr>
            <a:t>RESUMO</a:t>
          </a:r>
          <a:r>
            <a:rPr lang="pt-BR" sz="2400" baseline="0">
              <a:solidFill>
                <a:schemeClr val="bg1"/>
              </a:solidFill>
              <a:latin typeface="Play" panose="020B0000000000000000" pitchFamily="34" charset="0"/>
            </a:rPr>
            <a:t> COMPARATIVO DE VENDA DE BEBIDAS NÃO ALCOÓLICAS</a:t>
          </a:r>
          <a:endParaRPr lang="pt-BR" sz="2400">
            <a:solidFill>
              <a:schemeClr val="bg1"/>
            </a:solidFill>
            <a:latin typeface="Play" panose="020B0000000000000000" pitchFamily="34" charset="0"/>
          </a:endParaRPr>
        </a:p>
      </xdr:txBody>
    </xdr:sp>
    <xdr:clientData/>
  </xdr:twoCellAnchor>
  <xdr:twoCellAnchor editAs="oneCell">
    <xdr:from>
      <xdr:col>1</xdr:col>
      <xdr:colOff>2235347</xdr:colOff>
      <xdr:row>19</xdr:row>
      <xdr:rowOff>183655</xdr:rowOff>
    </xdr:from>
    <xdr:to>
      <xdr:col>2</xdr:col>
      <xdr:colOff>248708</xdr:colOff>
      <xdr:row>22</xdr:row>
      <xdr:rowOff>131410</xdr:rowOff>
    </xdr:to>
    <xdr:pic>
      <xdr:nvPicPr>
        <xdr:cNvPr id="10" name="Imagem 9" descr="Resultado de imagem para coca log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0" b="100000" l="0" r="100000">
                      <a14:foregroundMark x1="6689" y1="50121" x2="7875" y2="22760"/>
                      <a14:foregroundMark x1="15326" y1="63680" x2="12193" y2="59080"/>
                      <a14:foregroundMark x1="49619" y1="54479" x2="51990" y2="42131"/>
                      <a14:foregroundMark x1="49958" y1="35351" x2="48010" y2="3293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2972" y="3603130"/>
          <a:ext cx="1509037" cy="519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2310957</xdr:colOff>
      <xdr:row>14</xdr:row>
      <xdr:rowOff>2405</xdr:rowOff>
    </xdr:from>
    <xdr:to>
      <xdr:col>2</xdr:col>
      <xdr:colOff>225642</xdr:colOff>
      <xdr:row>16</xdr:row>
      <xdr:rowOff>169333</xdr:rowOff>
    </xdr:to>
    <xdr:pic>
      <xdr:nvPicPr>
        <xdr:cNvPr id="11" name="Imagem 10" descr="Resultado de imagem para coca log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82" y="2469380"/>
          <a:ext cx="1410361" cy="547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2383324</xdr:colOff>
      <xdr:row>7</xdr:row>
      <xdr:rowOff>115421</xdr:rowOff>
    </xdr:from>
    <xdr:to>
      <xdr:col>2</xdr:col>
      <xdr:colOff>73480</xdr:colOff>
      <xdr:row>11</xdr:row>
      <xdr:rowOff>100544</xdr:rowOff>
    </xdr:to>
    <xdr:pic>
      <xdr:nvPicPr>
        <xdr:cNvPr id="12" name="Imagem 11" descr="Resultado de imagem para guarana log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3733" b="92691" l="0" r="100000">
                      <a14:foregroundMark x1="12850" y1="56532" x2="78750" y2="42068"/>
                      <a14:foregroundMark x1="76400" y1="84059" x2="11450" y2="81882"/>
                      <a14:foregroundMark x1="89400" y1="68818" x2="21700" y2="67418"/>
                      <a14:foregroundMark x1="58800" y1="58009" x2="28150" y2="33359"/>
                      <a14:foregroundMark x1="20750" y1="75350" x2="20750" y2="39891"/>
                      <a14:foregroundMark x1="57850" y1="57232" x2="83850" y2="493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0949" y="1239371"/>
          <a:ext cx="1185832" cy="756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447286</xdr:colOff>
      <xdr:row>12</xdr:row>
      <xdr:rowOff>99917</xdr:rowOff>
    </xdr:from>
    <xdr:to>
      <xdr:col>1</xdr:col>
      <xdr:colOff>1541991</xdr:colOff>
      <xdr:row>18</xdr:row>
      <xdr:rowOff>36341</xdr:rowOff>
    </xdr:to>
    <xdr:pic>
      <xdr:nvPicPr>
        <xdr:cNvPr id="13" name="Imagem 12" descr="Resultado de imagem para red bu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953" b="100000" l="0" r="100000">
                      <a14:foregroundMark x1="15039" y1="68164" x2="18359" y2="72461"/>
                      <a14:foregroundMark x1="26172" y1="69531" x2="30078" y2="68164"/>
                      <a14:foregroundMark x1="40820" y1="65625" x2="45313" y2="66406"/>
                      <a14:foregroundMark x1="56445" y1="67188" x2="55469" y2="58398"/>
                      <a14:foregroundMark x1="71875" y1="71484" x2="70313" y2="65234"/>
                      <a14:foregroundMark x1="84961" y1="70117" x2="84766" y2="62695"/>
                      <a14:foregroundMark x1="89648" y1="66211" x2="89453" y2="58789"/>
                      <a14:backgroundMark x1="27539" y1="66211" x2="25977" y2="662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911" y="2185892"/>
          <a:ext cx="1094705" cy="107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586623</xdr:colOff>
      <xdr:row>19</xdr:row>
      <xdr:rowOff>87652</xdr:rowOff>
    </xdr:from>
    <xdr:to>
      <xdr:col>1</xdr:col>
      <xdr:colOff>1438472</xdr:colOff>
      <xdr:row>23</xdr:row>
      <xdr:rowOff>2117</xdr:rowOff>
    </xdr:to>
    <xdr:pic>
      <xdr:nvPicPr>
        <xdr:cNvPr id="14" name="Imagem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34248" y="3507127"/>
          <a:ext cx="851849" cy="676465"/>
        </a:xfrm>
        <a:prstGeom prst="rect">
          <a:avLst/>
        </a:prstGeom>
      </xdr:spPr>
    </xdr:pic>
    <xdr:clientData/>
  </xdr:twoCellAnchor>
  <xdr:twoCellAnchor>
    <xdr:from>
      <xdr:col>2</xdr:col>
      <xdr:colOff>638174</xdr:colOff>
      <xdr:row>9</xdr:row>
      <xdr:rowOff>171450</xdr:rowOff>
    </xdr:from>
    <xdr:to>
      <xdr:col>11</xdr:col>
      <xdr:colOff>1228725</xdr:colOff>
      <xdr:row>24</xdr:row>
      <xdr:rowOff>47625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171450</xdr:rowOff>
        </xdr:from>
        <xdr:to>
          <xdr:col>6</xdr:col>
          <xdr:colOff>1114425</xdr:colOff>
          <xdr:row>8</xdr:row>
          <xdr:rowOff>190500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171450</xdr:rowOff>
        </xdr:from>
        <xdr:to>
          <xdr:col>8</xdr:col>
          <xdr:colOff>1114425</xdr:colOff>
          <xdr:row>8</xdr:row>
          <xdr:rowOff>190500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169717</xdr:colOff>
      <xdr:row>6</xdr:row>
      <xdr:rowOff>178377</xdr:rowOff>
    </xdr:from>
    <xdr:to>
      <xdr:col>8</xdr:col>
      <xdr:colOff>1113558</xdr:colOff>
      <xdr:row>8</xdr:row>
      <xdr:rowOff>22513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7599217" y="1113559"/>
          <a:ext cx="1186296" cy="22513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accent2"/>
              </a:solidFill>
              <a:latin typeface="Play" panose="020B0000000000000000" pitchFamily="34" charset="0"/>
            </a:rPr>
            <a:t>ANO 2</a:t>
          </a:r>
        </a:p>
      </xdr:txBody>
    </xdr:sp>
    <xdr:clientData/>
  </xdr:twoCellAnchor>
  <xdr:twoCellAnchor>
    <xdr:from>
      <xdr:col>5</xdr:col>
      <xdr:colOff>181841</xdr:colOff>
      <xdr:row>6</xdr:row>
      <xdr:rowOff>164522</xdr:rowOff>
    </xdr:from>
    <xdr:to>
      <xdr:col>6</xdr:col>
      <xdr:colOff>1125681</xdr:colOff>
      <xdr:row>8</xdr:row>
      <xdr:rowOff>8658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6243205" y="1099704"/>
          <a:ext cx="1186294" cy="22513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2060"/>
              </a:solidFill>
              <a:latin typeface="Play" panose="020B0000000000000000" pitchFamily="34" charset="0"/>
            </a:rPr>
            <a:t>ANO 1</a:t>
          </a:r>
        </a:p>
      </xdr:txBody>
    </xdr:sp>
    <xdr:clientData/>
  </xdr:twoCellAnchor>
  <xdr:twoCellAnchor>
    <xdr:from>
      <xdr:col>1</xdr:col>
      <xdr:colOff>108264</xdr:colOff>
      <xdr:row>12</xdr:row>
      <xdr:rowOff>131811</xdr:rowOff>
    </xdr:from>
    <xdr:to>
      <xdr:col>1</xdr:col>
      <xdr:colOff>1956640</xdr:colOff>
      <xdr:row>17</xdr:row>
      <xdr:rowOff>188384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55889" y="2217786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18</xdr:row>
      <xdr:rowOff>112761</xdr:rowOff>
    </xdr:from>
    <xdr:to>
      <xdr:col>1</xdr:col>
      <xdr:colOff>1956640</xdr:colOff>
      <xdr:row>23</xdr:row>
      <xdr:rowOff>169334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5889" y="3341736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6</xdr:row>
      <xdr:rowOff>179436</xdr:rowOff>
    </xdr:from>
    <xdr:to>
      <xdr:col>2</xdr:col>
      <xdr:colOff>394540</xdr:colOff>
      <xdr:row>12</xdr:row>
      <xdr:rowOff>45509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089464" y="1112886"/>
          <a:ext cx="1848376" cy="1018598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12</xdr:row>
      <xdr:rowOff>141336</xdr:rowOff>
    </xdr:from>
    <xdr:to>
      <xdr:col>2</xdr:col>
      <xdr:colOff>394540</xdr:colOff>
      <xdr:row>18</xdr:row>
      <xdr:rowOff>7409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089464" y="2227311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18</xdr:row>
      <xdr:rowOff>122286</xdr:rowOff>
    </xdr:from>
    <xdr:to>
      <xdr:col>2</xdr:col>
      <xdr:colOff>394540</xdr:colOff>
      <xdr:row>23</xdr:row>
      <xdr:rowOff>178859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089464" y="3351261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6</xdr:row>
      <xdr:rowOff>169911</xdr:rowOff>
    </xdr:from>
    <xdr:to>
      <xdr:col>1</xdr:col>
      <xdr:colOff>1956640</xdr:colOff>
      <xdr:row>12</xdr:row>
      <xdr:rowOff>35984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55889" y="1103361"/>
          <a:ext cx="1848376" cy="1018598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255277</xdr:colOff>
      <xdr:row>7</xdr:row>
      <xdr:rowOff>77891</xdr:rowOff>
    </xdr:from>
    <xdr:to>
      <xdr:col>1</xdr:col>
      <xdr:colOff>1846791</xdr:colOff>
      <xdr:row>11</xdr:row>
      <xdr:rowOff>102200</xdr:rowOff>
    </xdr:to>
    <xdr:pic>
      <xdr:nvPicPr>
        <xdr:cNvPr id="8" name="Imagem 7" descr="Resultado de imagem para sprite log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902" y="1201841"/>
          <a:ext cx="1591514" cy="7958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</xdr:row>
      <xdr:rowOff>34637</xdr:rowOff>
    </xdr:from>
    <xdr:to>
      <xdr:col>13</xdr:col>
      <xdr:colOff>0</xdr:colOff>
      <xdr:row>4</xdr:row>
      <xdr:rowOff>133350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 flipV="1">
          <a:off x="0" y="206087"/>
          <a:ext cx="11582400" cy="479713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Play" panose="020B0000000000000000" pitchFamily="34" charset="0"/>
            </a:rPr>
            <a:t>RESUMO</a:t>
          </a:r>
          <a:r>
            <a:rPr lang="pt-BR" sz="2400" baseline="0">
              <a:solidFill>
                <a:schemeClr val="bg1"/>
              </a:solidFill>
              <a:latin typeface="Play" panose="020B0000000000000000" pitchFamily="34" charset="0"/>
            </a:rPr>
            <a:t> COMPARATIVO DE VENDA DE BEBIDAS NÃO ALCOÓLICAS</a:t>
          </a:r>
          <a:endParaRPr lang="pt-BR" sz="2400">
            <a:solidFill>
              <a:schemeClr val="bg1"/>
            </a:solidFill>
            <a:latin typeface="Play" panose="020B0000000000000000" pitchFamily="34" charset="0"/>
          </a:endParaRPr>
        </a:p>
      </xdr:txBody>
    </xdr:sp>
    <xdr:clientData/>
  </xdr:twoCellAnchor>
  <xdr:twoCellAnchor editAs="oneCell">
    <xdr:from>
      <xdr:col>1</xdr:col>
      <xdr:colOff>2235347</xdr:colOff>
      <xdr:row>19</xdr:row>
      <xdr:rowOff>183655</xdr:rowOff>
    </xdr:from>
    <xdr:to>
      <xdr:col>2</xdr:col>
      <xdr:colOff>248708</xdr:colOff>
      <xdr:row>22</xdr:row>
      <xdr:rowOff>131410</xdr:rowOff>
    </xdr:to>
    <xdr:pic>
      <xdr:nvPicPr>
        <xdr:cNvPr id="10" name="Imagem 9" descr="Resultado de imagem para coca log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0" b="100000" l="0" r="100000">
                      <a14:foregroundMark x1="6689" y1="50121" x2="7875" y2="22760"/>
                      <a14:foregroundMark x1="15326" y1="63680" x2="12193" y2="59080"/>
                      <a14:foregroundMark x1="49619" y1="54479" x2="51990" y2="42131"/>
                      <a14:foregroundMark x1="49958" y1="35351" x2="48010" y2="3293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2972" y="3603130"/>
          <a:ext cx="1509037" cy="519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2310957</xdr:colOff>
      <xdr:row>14</xdr:row>
      <xdr:rowOff>2405</xdr:rowOff>
    </xdr:from>
    <xdr:to>
      <xdr:col>2</xdr:col>
      <xdr:colOff>225642</xdr:colOff>
      <xdr:row>16</xdr:row>
      <xdr:rowOff>169333</xdr:rowOff>
    </xdr:to>
    <xdr:pic>
      <xdr:nvPicPr>
        <xdr:cNvPr id="11" name="Imagem 10" descr="Resultado de imagem para coca log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8582" y="2469380"/>
          <a:ext cx="1410361" cy="547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2383324</xdr:colOff>
      <xdr:row>7</xdr:row>
      <xdr:rowOff>115421</xdr:rowOff>
    </xdr:from>
    <xdr:to>
      <xdr:col>2</xdr:col>
      <xdr:colOff>73480</xdr:colOff>
      <xdr:row>11</xdr:row>
      <xdr:rowOff>100544</xdr:rowOff>
    </xdr:to>
    <xdr:pic>
      <xdr:nvPicPr>
        <xdr:cNvPr id="12" name="Imagem 11" descr="Resultado de imagem para guarana log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3733" b="92691" l="0" r="100000">
                      <a14:foregroundMark x1="12850" y1="56532" x2="78750" y2="42068"/>
                      <a14:foregroundMark x1="76400" y1="84059" x2="11450" y2="81882"/>
                      <a14:foregroundMark x1="89400" y1="68818" x2="21700" y2="67418"/>
                      <a14:foregroundMark x1="58800" y1="58009" x2="28150" y2="33359"/>
                      <a14:foregroundMark x1="20750" y1="75350" x2="20750" y2="39891"/>
                      <a14:foregroundMark x1="57850" y1="57232" x2="83850" y2="493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0949" y="1239371"/>
          <a:ext cx="1185832" cy="756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447286</xdr:colOff>
      <xdr:row>12</xdr:row>
      <xdr:rowOff>99917</xdr:rowOff>
    </xdr:from>
    <xdr:to>
      <xdr:col>1</xdr:col>
      <xdr:colOff>1541991</xdr:colOff>
      <xdr:row>18</xdr:row>
      <xdr:rowOff>36341</xdr:rowOff>
    </xdr:to>
    <xdr:pic>
      <xdr:nvPicPr>
        <xdr:cNvPr id="13" name="Imagem 12" descr="Resultado de imagem para red bu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953" b="100000" l="0" r="100000">
                      <a14:foregroundMark x1="15039" y1="68164" x2="18359" y2="72461"/>
                      <a14:foregroundMark x1="26172" y1="69531" x2="30078" y2="68164"/>
                      <a14:foregroundMark x1="40820" y1="65625" x2="45313" y2="66406"/>
                      <a14:foregroundMark x1="56445" y1="67188" x2="55469" y2="58398"/>
                      <a14:foregroundMark x1="71875" y1="71484" x2="70313" y2="65234"/>
                      <a14:foregroundMark x1="84961" y1="70117" x2="84766" y2="62695"/>
                      <a14:foregroundMark x1="89648" y1="66211" x2="89453" y2="58789"/>
                      <a14:backgroundMark x1="27539" y1="66211" x2="25977" y2="662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911" y="2185892"/>
          <a:ext cx="1094705" cy="107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586623</xdr:colOff>
      <xdr:row>19</xdr:row>
      <xdr:rowOff>87652</xdr:rowOff>
    </xdr:from>
    <xdr:to>
      <xdr:col>1</xdr:col>
      <xdr:colOff>1438472</xdr:colOff>
      <xdr:row>23</xdr:row>
      <xdr:rowOff>2117</xdr:rowOff>
    </xdr:to>
    <xdr:pic>
      <xdr:nvPicPr>
        <xdr:cNvPr id="14" name="Imagem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34248" y="3507127"/>
          <a:ext cx="851849" cy="676465"/>
        </a:xfrm>
        <a:prstGeom prst="rect">
          <a:avLst/>
        </a:prstGeom>
      </xdr:spPr>
    </xdr:pic>
    <xdr:clientData/>
  </xdr:twoCellAnchor>
  <xdr:twoCellAnchor>
    <xdr:from>
      <xdr:col>2</xdr:col>
      <xdr:colOff>638174</xdr:colOff>
      <xdr:row>9</xdr:row>
      <xdr:rowOff>171450</xdr:rowOff>
    </xdr:from>
    <xdr:to>
      <xdr:col>11</xdr:col>
      <xdr:colOff>1228725</xdr:colOff>
      <xdr:row>24</xdr:row>
      <xdr:rowOff>47625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171450</xdr:rowOff>
        </xdr:from>
        <xdr:to>
          <xdr:col>6</xdr:col>
          <xdr:colOff>1114425</xdr:colOff>
          <xdr:row>8</xdr:row>
          <xdr:rowOff>190500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171450</xdr:rowOff>
        </xdr:from>
        <xdr:to>
          <xdr:col>8</xdr:col>
          <xdr:colOff>1114425</xdr:colOff>
          <xdr:row>8</xdr:row>
          <xdr:rowOff>190500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169717</xdr:colOff>
      <xdr:row>6</xdr:row>
      <xdr:rowOff>178377</xdr:rowOff>
    </xdr:from>
    <xdr:to>
      <xdr:col>8</xdr:col>
      <xdr:colOff>1113558</xdr:colOff>
      <xdr:row>8</xdr:row>
      <xdr:rowOff>22513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580167" y="1111827"/>
          <a:ext cx="1181966" cy="22513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accent2"/>
              </a:solidFill>
              <a:latin typeface="Play" panose="020B0000000000000000" pitchFamily="34" charset="0"/>
            </a:rPr>
            <a:t>ANO 2</a:t>
          </a:r>
        </a:p>
      </xdr:txBody>
    </xdr:sp>
    <xdr:clientData/>
  </xdr:twoCellAnchor>
  <xdr:twoCellAnchor>
    <xdr:from>
      <xdr:col>5</xdr:col>
      <xdr:colOff>181841</xdr:colOff>
      <xdr:row>6</xdr:row>
      <xdr:rowOff>164522</xdr:rowOff>
    </xdr:from>
    <xdr:to>
      <xdr:col>6</xdr:col>
      <xdr:colOff>1125681</xdr:colOff>
      <xdr:row>8</xdr:row>
      <xdr:rowOff>8658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230216" y="1097972"/>
          <a:ext cx="1181965" cy="22513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2060"/>
              </a:solidFill>
              <a:latin typeface="Play" panose="020B0000000000000000" pitchFamily="34" charset="0"/>
            </a:rPr>
            <a:t>ANO 1</a:t>
          </a:r>
        </a:p>
      </xdr:txBody>
    </xdr:sp>
    <xdr:clientData/>
  </xdr:twoCellAnchor>
  <xdr:twoCellAnchor>
    <xdr:from>
      <xdr:col>1</xdr:col>
      <xdr:colOff>108264</xdr:colOff>
      <xdr:row>12</xdr:row>
      <xdr:rowOff>131811</xdr:rowOff>
    </xdr:from>
    <xdr:to>
      <xdr:col>1</xdr:col>
      <xdr:colOff>1956640</xdr:colOff>
      <xdr:row>17</xdr:row>
      <xdr:rowOff>188384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84464" y="2217786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18</xdr:row>
      <xdr:rowOff>112761</xdr:rowOff>
    </xdr:from>
    <xdr:to>
      <xdr:col>1</xdr:col>
      <xdr:colOff>1956640</xdr:colOff>
      <xdr:row>23</xdr:row>
      <xdr:rowOff>169334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84464" y="3341736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6</xdr:row>
      <xdr:rowOff>179436</xdr:rowOff>
    </xdr:from>
    <xdr:to>
      <xdr:col>2</xdr:col>
      <xdr:colOff>394540</xdr:colOff>
      <xdr:row>12</xdr:row>
      <xdr:rowOff>45509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118039" y="1112886"/>
          <a:ext cx="1848376" cy="1018598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12</xdr:row>
      <xdr:rowOff>141336</xdr:rowOff>
    </xdr:from>
    <xdr:to>
      <xdr:col>2</xdr:col>
      <xdr:colOff>394540</xdr:colOff>
      <xdr:row>18</xdr:row>
      <xdr:rowOff>7409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118039" y="2227311"/>
          <a:ext cx="1848376" cy="1009073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2041839</xdr:colOff>
      <xdr:row>18</xdr:row>
      <xdr:rowOff>122286</xdr:rowOff>
    </xdr:from>
    <xdr:to>
      <xdr:col>2</xdr:col>
      <xdr:colOff>394540</xdr:colOff>
      <xdr:row>23</xdr:row>
      <xdr:rowOff>178859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118039" y="3351261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6</xdr:row>
      <xdr:rowOff>169911</xdr:rowOff>
    </xdr:from>
    <xdr:to>
      <xdr:col>1</xdr:col>
      <xdr:colOff>1956640</xdr:colOff>
      <xdr:row>12</xdr:row>
      <xdr:rowOff>35984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84464" y="1103361"/>
          <a:ext cx="1848376" cy="1018598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255277</xdr:colOff>
      <xdr:row>7</xdr:row>
      <xdr:rowOff>77891</xdr:rowOff>
    </xdr:from>
    <xdr:to>
      <xdr:col>1</xdr:col>
      <xdr:colOff>1846791</xdr:colOff>
      <xdr:row>11</xdr:row>
      <xdr:rowOff>102200</xdr:rowOff>
    </xdr:to>
    <xdr:pic>
      <xdr:nvPicPr>
        <xdr:cNvPr id="10" name="Imagem 9" descr="Resultado de imagem para sprite log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7" y="1201841"/>
          <a:ext cx="1591514" cy="7958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</xdr:row>
      <xdr:rowOff>34637</xdr:rowOff>
    </xdr:from>
    <xdr:to>
      <xdr:col>13</xdr:col>
      <xdr:colOff>0</xdr:colOff>
      <xdr:row>4</xdr:row>
      <xdr:rowOff>133350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 rot="10800000" flipV="1">
          <a:off x="0" y="206087"/>
          <a:ext cx="11610975" cy="479713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Play" panose="020B0000000000000000" pitchFamily="34" charset="0"/>
            </a:rPr>
            <a:t>RESUMO</a:t>
          </a:r>
          <a:r>
            <a:rPr lang="pt-BR" sz="2400" baseline="0">
              <a:solidFill>
                <a:schemeClr val="bg1"/>
              </a:solidFill>
              <a:latin typeface="Play" panose="020B0000000000000000" pitchFamily="34" charset="0"/>
            </a:rPr>
            <a:t> COMPARATIVO DE VENDA DE BEBIDAS NÃO ALCOÓLICAS</a:t>
          </a:r>
          <a:endParaRPr lang="pt-BR" sz="2400">
            <a:solidFill>
              <a:schemeClr val="bg1"/>
            </a:solidFill>
            <a:latin typeface="Play" panose="020B0000000000000000" pitchFamily="34" charset="0"/>
          </a:endParaRPr>
        </a:p>
      </xdr:txBody>
    </xdr:sp>
    <xdr:clientData/>
  </xdr:twoCellAnchor>
  <xdr:twoCellAnchor editAs="oneCell">
    <xdr:from>
      <xdr:col>1</xdr:col>
      <xdr:colOff>2235347</xdr:colOff>
      <xdr:row>19</xdr:row>
      <xdr:rowOff>183655</xdr:rowOff>
    </xdr:from>
    <xdr:to>
      <xdr:col>2</xdr:col>
      <xdr:colOff>248708</xdr:colOff>
      <xdr:row>22</xdr:row>
      <xdr:rowOff>131410</xdr:rowOff>
    </xdr:to>
    <xdr:pic>
      <xdr:nvPicPr>
        <xdr:cNvPr id="12" name="Imagem 11" descr="Resultado de imagem para coca log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0" b="100000" l="0" r="100000">
                      <a14:foregroundMark x1="6689" y1="50121" x2="7875" y2="22760"/>
                      <a14:foregroundMark x1="15326" y1="63680" x2="12193" y2="59080"/>
                      <a14:foregroundMark x1="49619" y1="54479" x2="51990" y2="42131"/>
                      <a14:foregroundMark x1="49958" y1="35351" x2="48010" y2="3293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547" y="3603130"/>
          <a:ext cx="1509036" cy="519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2310957</xdr:colOff>
      <xdr:row>14</xdr:row>
      <xdr:rowOff>2405</xdr:rowOff>
    </xdr:from>
    <xdr:to>
      <xdr:col>2</xdr:col>
      <xdr:colOff>225642</xdr:colOff>
      <xdr:row>16</xdr:row>
      <xdr:rowOff>169333</xdr:rowOff>
    </xdr:to>
    <xdr:pic>
      <xdr:nvPicPr>
        <xdr:cNvPr id="13" name="Imagem 12" descr="Resultado de imagem para coca log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7157" y="2469380"/>
          <a:ext cx="1410360" cy="547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2383324</xdr:colOff>
      <xdr:row>7</xdr:row>
      <xdr:rowOff>115421</xdr:rowOff>
    </xdr:from>
    <xdr:to>
      <xdr:col>2</xdr:col>
      <xdr:colOff>73480</xdr:colOff>
      <xdr:row>11</xdr:row>
      <xdr:rowOff>100544</xdr:rowOff>
    </xdr:to>
    <xdr:pic>
      <xdr:nvPicPr>
        <xdr:cNvPr id="14" name="Imagem 13" descr="Resultado de imagem para guarana log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ackgroundRemoval t="3733" b="92691" l="0" r="100000">
                      <a14:foregroundMark x1="12850" y1="56532" x2="78750" y2="42068"/>
                      <a14:foregroundMark x1="76400" y1="84059" x2="11450" y2="81882"/>
                      <a14:foregroundMark x1="89400" y1="68818" x2="21700" y2="67418"/>
                      <a14:foregroundMark x1="58800" y1="58009" x2="28150" y2="33359"/>
                      <a14:foregroundMark x1="20750" y1="75350" x2="20750" y2="39891"/>
                      <a14:foregroundMark x1="57850" y1="57232" x2="83850" y2="493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524" y="1239371"/>
          <a:ext cx="1185831" cy="756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447286</xdr:colOff>
      <xdr:row>12</xdr:row>
      <xdr:rowOff>99917</xdr:rowOff>
    </xdr:from>
    <xdr:to>
      <xdr:col>1</xdr:col>
      <xdr:colOff>1541991</xdr:colOff>
      <xdr:row>18</xdr:row>
      <xdr:rowOff>36341</xdr:rowOff>
    </xdr:to>
    <xdr:pic>
      <xdr:nvPicPr>
        <xdr:cNvPr id="15" name="Imagem 14" descr="Resultado de imagem para red bu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1953" b="100000" l="0" r="100000">
                      <a14:foregroundMark x1="15039" y1="68164" x2="18359" y2="72461"/>
                      <a14:foregroundMark x1="26172" y1="69531" x2="30078" y2="68164"/>
                      <a14:foregroundMark x1="40820" y1="65625" x2="45313" y2="66406"/>
                      <a14:foregroundMark x1="56445" y1="67188" x2="55469" y2="58398"/>
                      <a14:foregroundMark x1="71875" y1="71484" x2="70313" y2="65234"/>
                      <a14:foregroundMark x1="84961" y1="70117" x2="84766" y2="62695"/>
                      <a14:foregroundMark x1="89648" y1="66211" x2="89453" y2="58789"/>
                      <a14:backgroundMark x1="27539" y1="66211" x2="25977" y2="662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486" y="2185892"/>
          <a:ext cx="1094705" cy="107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586623</xdr:colOff>
      <xdr:row>19</xdr:row>
      <xdr:rowOff>87652</xdr:rowOff>
    </xdr:from>
    <xdr:to>
      <xdr:col>1</xdr:col>
      <xdr:colOff>1438472</xdr:colOff>
      <xdr:row>23</xdr:row>
      <xdr:rowOff>2117</xdr:rowOff>
    </xdr:to>
    <xdr:pic>
      <xdr:nvPicPr>
        <xdr:cNvPr id="16" name="Imagem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ackgroundRemoval t="0" b="100000" l="0" r="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62823" y="3507127"/>
          <a:ext cx="851849" cy="676465"/>
        </a:xfrm>
        <a:prstGeom prst="rect">
          <a:avLst/>
        </a:prstGeom>
      </xdr:spPr>
    </xdr:pic>
    <xdr:clientData/>
  </xdr:twoCellAnchor>
  <xdr:twoCellAnchor>
    <xdr:from>
      <xdr:col>2</xdr:col>
      <xdr:colOff>638174</xdr:colOff>
      <xdr:row>9</xdr:row>
      <xdr:rowOff>171450</xdr:rowOff>
    </xdr:from>
    <xdr:to>
      <xdr:col>11</xdr:col>
      <xdr:colOff>1228725</xdr:colOff>
      <xdr:row>24</xdr:row>
      <xdr:rowOff>47625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171450</xdr:rowOff>
        </xdr:from>
        <xdr:to>
          <xdr:col>6</xdr:col>
          <xdr:colOff>1114425</xdr:colOff>
          <xdr:row>8</xdr:row>
          <xdr:rowOff>190500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171450</xdr:rowOff>
        </xdr:from>
        <xdr:to>
          <xdr:col>8</xdr:col>
          <xdr:colOff>1114425</xdr:colOff>
          <xdr:row>8</xdr:row>
          <xdr:rowOff>190500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169717</xdr:colOff>
      <xdr:row>6</xdr:row>
      <xdr:rowOff>178377</xdr:rowOff>
    </xdr:from>
    <xdr:to>
      <xdr:col>8</xdr:col>
      <xdr:colOff>1113558</xdr:colOff>
      <xdr:row>8</xdr:row>
      <xdr:rowOff>22513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80167" y="1111827"/>
          <a:ext cx="1181966" cy="22513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accent2"/>
              </a:solidFill>
              <a:latin typeface="Play" panose="020B0000000000000000" pitchFamily="34" charset="0"/>
            </a:rPr>
            <a:t>ANO 2</a:t>
          </a:r>
        </a:p>
      </xdr:txBody>
    </xdr:sp>
    <xdr:clientData/>
  </xdr:twoCellAnchor>
  <xdr:twoCellAnchor>
    <xdr:from>
      <xdr:col>5</xdr:col>
      <xdr:colOff>181841</xdr:colOff>
      <xdr:row>6</xdr:row>
      <xdr:rowOff>164522</xdr:rowOff>
    </xdr:from>
    <xdr:to>
      <xdr:col>6</xdr:col>
      <xdr:colOff>1125681</xdr:colOff>
      <xdr:row>8</xdr:row>
      <xdr:rowOff>8658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230216" y="1097972"/>
          <a:ext cx="1181965" cy="22513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2060"/>
              </a:solidFill>
              <a:latin typeface="Play" panose="020B0000000000000000" pitchFamily="34" charset="0"/>
            </a:rPr>
            <a:t>ANO 1</a:t>
          </a:r>
        </a:p>
      </xdr:txBody>
    </xdr:sp>
    <xdr:clientData/>
  </xdr:twoCellAnchor>
  <xdr:twoCellAnchor>
    <xdr:from>
      <xdr:col>1</xdr:col>
      <xdr:colOff>108264</xdr:colOff>
      <xdr:row>12</xdr:row>
      <xdr:rowOff>131811</xdr:rowOff>
    </xdr:from>
    <xdr:to>
      <xdr:col>1</xdr:col>
      <xdr:colOff>1956640</xdr:colOff>
      <xdr:row>17</xdr:row>
      <xdr:rowOff>188384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84464" y="2217786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18</xdr:row>
      <xdr:rowOff>112761</xdr:rowOff>
    </xdr:from>
    <xdr:to>
      <xdr:col>1</xdr:col>
      <xdr:colOff>1956640</xdr:colOff>
      <xdr:row>23</xdr:row>
      <xdr:rowOff>169334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84464" y="3341736"/>
          <a:ext cx="1848376" cy="1009073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6</xdr:row>
      <xdr:rowOff>179436</xdr:rowOff>
    </xdr:from>
    <xdr:to>
      <xdr:col>2</xdr:col>
      <xdr:colOff>394540</xdr:colOff>
      <xdr:row>12</xdr:row>
      <xdr:rowOff>45509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18039" y="1112886"/>
          <a:ext cx="1848376" cy="1018598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12</xdr:row>
      <xdr:rowOff>141336</xdr:rowOff>
    </xdr:from>
    <xdr:to>
      <xdr:col>2</xdr:col>
      <xdr:colOff>394540</xdr:colOff>
      <xdr:row>18</xdr:row>
      <xdr:rowOff>7409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118039" y="2227311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2041839</xdr:colOff>
      <xdr:row>18</xdr:row>
      <xdr:rowOff>122286</xdr:rowOff>
    </xdr:from>
    <xdr:to>
      <xdr:col>2</xdr:col>
      <xdr:colOff>394540</xdr:colOff>
      <xdr:row>23</xdr:row>
      <xdr:rowOff>178859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118039" y="3351261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6</xdr:row>
      <xdr:rowOff>169911</xdr:rowOff>
    </xdr:from>
    <xdr:to>
      <xdr:col>1</xdr:col>
      <xdr:colOff>1956640</xdr:colOff>
      <xdr:row>12</xdr:row>
      <xdr:rowOff>35984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84464" y="1103361"/>
          <a:ext cx="1848376" cy="1018598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255277</xdr:colOff>
      <xdr:row>7</xdr:row>
      <xdr:rowOff>77891</xdr:rowOff>
    </xdr:from>
    <xdr:to>
      <xdr:col>1</xdr:col>
      <xdr:colOff>1846791</xdr:colOff>
      <xdr:row>11</xdr:row>
      <xdr:rowOff>102200</xdr:rowOff>
    </xdr:to>
    <xdr:pic>
      <xdr:nvPicPr>
        <xdr:cNvPr id="10" name="Imagem 9" descr="Resultado de imagem para sprite log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7" y="1201841"/>
          <a:ext cx="1591514" cy="7958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</xdr:row>
      <xdr:rowOff>34637</xdr:rowOff>
    </xdr:from>
    <xdr:to>
      <xdr:col>13</xdr:col>
      <xdr:colOff>0</xdr:colOff>
      <xdr:row>4</xdr:row>
      <xdr:rowOff>133350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 rot="10800000" flipV="1">
          <a:off x="0" y="206087"/>
          <a:ext cx="11610975" cy="479713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Play" panose="020B0000000000000000" pitchFamily="34" charset="0"/>
            </a:rPr>
            <a:t>RESUMO</a:t>
          </a:r>
          <a:r>
            <a:rPr lang="pt-BR" sz="2400" baseline="0">
              <a:solidFill>
                <a:schemeClr val="bg1"/>
              </a:solidFill>
              <a:latin typeface="Play" panose="020B0000000000000000" pitchFamily="34" charset="0"/>
            </a:rPr>
            <a:t> COMPARATIVO DE VENDA DE BEBIDAS NÃO ALCOÓLICAS</a:t>
          </a:r>
          <a:endParaRPr lang="pt-BR" sz="2400">
            <a:solidFill>
              <a:schemeClr val="bg1"/>
            </a:solidFill>
            <a:latin typeface="Play" panose="020B0000000000000000" pitchFamily="34" charset="0"/>
          </a:endParaRPr>
        </a:p>
      </xdr:txBody>
    </xdr:sp>
    <xdr:clientData/>
  </xdr:twoCellAnchor>
  <xdr:twoCellAnchor editAs="oneCell">
    <xdr:from>
      <xdr:col>1</xdr:col>
      <xdr:colOff>2235347</xdr:colOff>
      <xdr:row>19</xdr:row>
      <xdr:rowOff>183655</xdr:rowOff>
    </xdr:from>
    <xdr:to>
      <xdr:col>2</xdr:col>
      <xdr:colOff>248708</xdr:colOff>
      <xdr:row>22</xdr:row>
      <xdr:rowOff>131410</xdr:rowOff>
    </xdr:to>
    <xdr:pic>
      <xdr:nvPicPr>
        <xdr:cNvPr id="12" name="Imagem 11" descr="Resultado de imagem para coca log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0" b="100000" l="0" r="100000">
                      <a14:foregroundMark x1="6689" y1="50121" x2="7875" y2="22760"/>
                      <a14:foregroundMark x1="15326" y1="63680" x2="12193" y2="59080"/>
                      <a14:foregroundMark x1="49619" y1="54479" x2="51990" y2="42131"/>
                      <a14:foregroundMark x1="49958" y1="35351" x2="48010" y2="3293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547" y="3603130"/>
          <a:ext cx="1509036" cy="519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2383324</xdr:colOff>
      <xdr:row>7</xdr:row>
      <xdr:rowOff>115421</xdr:rowOff>
    </xdr:from>
    <xdr:to>
      <xdr:col>2</xdr:col>
      <xdr:colOff>73480</xdr:colOff>
      <xdr:row>11</xdr:row>
      <xdr:rowOff>100544</xdr:rowOff>
    </xdr:to>
    <xdr:pic>
      <xdr:nvPicPr>
        <xdr:cNvPr id="14" name="Imagem 13" descr="Resultado de imagem para guarana log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3733" b="92691" l="0" r="100000">
                      <a14:foregroundMark x1="12850" y1="56532" x2="78750" y2="42068"/>
                      <a14:foregroundMark x1="76400" y1="84059" x2="11450" y2="81882"/>
                      <a14:foregroundMark x1="89400" y1="68818" x2="21700" y2="67418"/>
                      <a14:foregroundMark x1="58800" y1="58009" x2="28150" y2="33359"/>
                      <a14:foregroundMark x1="20750" y1="75350" x2="20750" y2="39891"/>
                      <a14:foregroundMark x1="57850" y1="57232" x2="83850" y2="493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524" y="1239371"/>
          <a:ext cx="1185831" cy="756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447286</xdr:colOff>
      <xdr:row>12</xdr:row>
      <xdr:rowOff>99917</xdr:rowOff>
    </xdr:from>
    <xdr:to>
      <xdr:col>1</xdr:col>
      <xdr:colOff>1541991</xdr:colOff>
      <xdr:row>18</xdr:row>
      <xdr:rowOff>36341</xdr:rowOff>
    </xdr:to>
    <xdr:pic>
      <xdr:nvPicPr>
        <xdr:cNvPr id="15" name="Imagem 14" descr="Resultado de imagem para red bu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ackgroundRemoval t="1953" b="100000" l="0" r="100000">
                      <a14:foregroundMark x1="15039" y1="68164" x2="18359" y2="72461"/>
                      <a14:foregroundMark x1="26172" y1="69531" x2="30078" y2="68164"/>
                      <a14:foregroundMark x1="40820" y1="65625" x2="45313" y2="66406"/>
                      <a14:foregroundMark x1="56445" y1="67188" x2="55469" y2="58398"/>
                      <a14:foregroundMark x1="71875" y1="71484" x2="70313" y2="65234"/>
                      <a14:foregroundMark x1="84961" y1="70117" x2="84766" y2="62695"/>
                      <a14:foregroundMark x1="89648" y1="66211" x2="89453" y2="58789"/>
                      <a14:backgroundMark x1="27539" y1="66211" x2="25977" y2="662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486" y="2185892"/>
          <a:ext cx="1094705" cy="107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586623</xdr:colOff>
      <xdr:row>19</xdr:row>
      <xdr:rowOff>87652</xdr:rowOff>
    </xdr:from>
    <xdr:to>
      <xdr:col>1</xdr:col>
      <xdr:colOff>1438472</xdr:colOff>
      <xdr:row>23</xdr:row>
      <xdr:rowOff>2117</xdr:rowOff>
    </xdr:to>
    <xdr:pic>
      <xdr:nvPicPr>
        <xdr:cNvPr id="16" name="Imagem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62823" y="3507127"/>
          <a:ext cx="851849" cy="676465"/>
        </a:xfrm>
        <a:prstGeom prst="rect">
          <a:avLst/>
        </a:prstGeom>
      </xdr:spPr>
    </xdr:pic>
    <xdr:clientData/>
  </xdr:twoCellAnchor>
  <xdr:twoCellAnchor>
    <xdr:from>
      <xdr:col>2</xdr:col>
      <xdr:colOff>638174</xdr:colOff>
      <xdr:row>9</xdr:row>
      <xdr:rowOff>171450</xdr:rowOff>
    </xdr:from>
    <xdr:to>
      <xdr:col>11</xdr:col>
      <xdr:colOff>1228725</xdr:colOff>
      <xdr:row>24</xdr:row>
      <xdr:rowOff>47625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171450</xdr:rowOff>
        </xdr:from>
        <xdr:to>
          <xdr:col>6</xdr:col>
          <xdr:colOff>1114425</xdr:colOff>
          <xdr:row>8</xdr:row>
          <xdr:rowOff>190500</xdr:rowOff>
        </xdr:to>
        <xdr:sp macro="" textlink="">
          <xdr:nvSpPr>
            <xdr:cNvPr id="8193" name="Drop Dow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171450</xdr:rowOff>
        </xdr:from>
        <xdr:to>
          <xdr:col>8</xdr:col>
          <xdr:colOff>1114425</xdr:colOff>
          <xdr:row>8</xdr:row>
          <xdr:rowOff>190500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2303318</xdr:colOff>
      <xdr:row>13</xdr:row>
      <xdr:rowOff>190499</xdr:rowOff>
    </xdr:from>
    <xdr:to>
      <xdr:col>2</xdr:col>
      <xdr:colOff>218003</xdr:colOff>
      <xdr:row>16</xdr:row>
      <xdr:rowOff>166927</xdr:rowOff>
    </xdr:to>
    <xdr:pic>
      <xdr:nvPicPr>
        <xdr:cNvPr id="20" name="Imagem 19" descr="Resultado de imagem para coca log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0" y="2467840"/>
          <a:ext cx="1412958" cy="547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169717</xdr:colOff>
      <xdr:row>6</xdr:row>
      <xdr:rowOff>178377</xdr:rowOff>
    </xdr:from>
    <xdr:to>
      <xdr:col>8</xdr:col>
      <xdr:colOff>1113558</xdr:colOff>
      <xdr:row>8</xdr:row>
      <xdr:rowOff>22513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580167" y="1111827"/>
          <a:ext cx="1181966" cy="22513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accent2"/>
              </a:solidFill>
              <a:latin typeface="Play" panose="020B0000000000000000" pitchFamily="34" charset="0"/>
            </a:rPr>
            <a:t>ANO 2</a:t>
          </a:r>
        </a:p>
      </xdr:txBody>
    </xdr:sp>
    <xdr:clientData/>
  </xdr:twoCellAnchor>
  <xdr:twoCellAnchor>
    <xdr:from>
      <xdr:col>5</xdr:col>
      <xdr:colOff>181841</xdr:colOff>
      <xdr:row>6</xdr:row>
      <xdr:rowOff>164522</xdr:rowOff>
    </xdr:from>
    <xdr:to>
      <xdr:col>6</xdr:col>
      <xdr:colOff>1125681</xdr:colOff>
      <xdr:row>8</xdr:row>
      <xdr:rowOff>8658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6230216" y="1097972"/>
          <a:ext cx="1181965" cy="22513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rgbClr val="002060"/>
              </a:solidFill>
              <a:latin typeface="Play" panose="020B0000000000000000" pitchFamily="34" charset="0"/>
            </a:rPr>
            <a:t>ANO 1</a:t>
          </a:r>
        </a:p>
      </xdr:txBody>
    </xdr:sp>
    <xdr:clientData/>
  </xdr:twoCellAnchor>
  <xdr:twoCellAnchor>
    <xdr:from>
      <xdr:col>1</xdr:col>
      <xdr:colOff>108264</xdr:colOff>
      <xdr:row>12</xdr:row>
      <xdr:rowOff>131811</xdr:rowOff>
    </xdr:from>
    <xdr:to>
      <xdr:col>1</xdr:col>
      <xdr:colOff>1956640</xdr:colOff>
      <xdr:row>17</xdr:row>
      <xdr:rowOff>188384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84464" y="2217786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18</xdr:row>
      <xdr:rowOff>112761</xdr:rowOff>
    </xdr:from>
    <xdr:to>
      <xdr:col>1</xdr:col>
      <xdr:colOff>1956640</xdr:colOff>
      <xdr:row>23</xdr:row>
      <xdr:rowOff>169334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84464" y="3341736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6</xdr:row>
      <xdr:rowOff>179436</xdr:rowOff>
    </xdr:from>
    <xdr:to>
      <xdr:col>2</xdr:col>
      <xdr:colOff>394540</xdr:colOff>
      <xdr:row>12</xdr:row>
      <xdr:rowOff>45509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118039" y="1112886"/>
          <a:ext cx="1848376" cy="1018598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2041839</xdr:colOff>
      <xdr:row>12</xdr:row>
      <xdr:rowOff>141336</xdr:rowOff>
    </xdr:from>
    <xdr:to>
      <xdr:col>2</xdr:col>
      <xdr:colOff>394540</xdr:colOff>
      <xdr:row>18</xdr:row>
      <xdr:rowOff>7409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2118039" y="2227311"/>
          <a:ext cx="1848376" cy="100907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2041839</xdr:colOff>
      <xdr:row>18</xdr:row>
      <xdr:rowOff>122286</xdr:rowOff>
    </xdr:from>
    <xdr:to>
      <xdr:col>2</xdr:col>
      <xdr:colOff>394540</xdr:colOff>
      <xdr:row>23</xdr:row>
      <xdr:rowOff>178859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2118039" y="3351261"/>
          <a:ext cx="1848376" cy="1009073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108264</xdr:colOff>
      <xdr:row>6</xdr:row>
      <xdr:rowOff>169911</xdr:rowOff>
    </xdr:from>
    <xdr:to>
      <xdr:col>1</xdr:col>
      <xdr:colOff>1956640</xdr:colOff>
      <xdr:row>12</xdr:row>
      <xdr:rowOff>35984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184464" y="1103361"/>
          <a:ext cx="1848376" cy="1018598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255277</xdr:colOff>
      <xdr:row>7</xdr:row>
      <xdr:rowOff>77891</xdr:rowOff>
    </xdr:from>
    <xdr:to>
      <xdr:col>1</xdr:col>
      <xdr:colOff>1846791</xdr:colOff>
      <xdr:row>11</xdr:row>
      <xdr:rowOff>102200</xdr:rowOff>
    </xdr:to>
    <xdr:pic>
      <xdr:nvPicPr>
        <xdr:cNvPr id="10" name="Imagem 9" descr="Resultado de imagem para sprite log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7" y="1201841"/>
          <a:ext cx="1591514" cy="7958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</xdr:row>
      <xdr:rowOff>34637</xdr:rowOff>
    </xdr:from>
    <xdr:to>
      <xdr:col>13</xdr:col>
      <xdr:colOff>0</xdr:colOff>
      <xdr:row>4</xdr:row>
      <xdr:rowOff>133350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0800000" flipV="1">
          <a:off x="0" y="206087"/>
          <a:ext cx="11610975" cy="479713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Play" panose="020B0000000000000000" pitchFamily="34" charset="0"/>
            </a:rPr>
            <a:t>RESUMO</a:t>
          </a:r>
          <a:r>
            <a:rPr lang="pt-BR" sz="2400" baseline="0">
              <a:solidFill>
                <a:schemeClr val="bg1"/>
              </a:solidFill>
              <a:latin typeface="Play" panose="020B0000000000000000" pitchFamily="34" charset="0"/>
            </a:rPr>
            <a:t> COMPARATIVO DE VENDA DE BEBIDAS NÃO ALCOÓLICAS</a:t>
          </a:r>
          <a:endParaRPr lang="pt-BR" sz="2400">
            <a:solidFill>
              <a:schemeClr val="bg1"/>
            </a:solidFill>
            <a:latin typeface="Play" panose="020B0000000000000000" pitchFamily="34" charset="0"/>
          </a:endParaRPr>
        </a:p>
      </xdr:txBody>
    </xdr:sp>
    <xdr:clientData/>
  </xdr:twoCellAnchor>
  <xdr:twoCellAnchor editAs="oneCell">
    <xdr:from>
      <xdr:col>1</xdr:col>
      <xdr:colOff>2235347</xdr:colOff>
      <xdr:row>19</xdr:row>
      <xdr:rowOff>183655</xdr:rowOff>
    </xdr:from>
    <xdr:to>
      <xdr:col>2</xdr:col>
      <xdr:colOff>248708</xdr:colOff>
      <xdr:row>22</xdr:row>
      <xdr:rowOff>131410</xdr:rowOff>
    </xdr:to>
    <xdr:pic>
      <xdr:nvPicPr>
        <xdr:cNvPr id="12" name="Imagem 11" descr="Resultado de imagem para coca log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0" b="100000" l="0" r="100000">
                      <a14:foregroundMark x1="15326" y1="63680" x2="12193" y2="59080"/>
                      <a14:foregroundMark x1="49619" y1="54479" x2="51990" y2="42131"/>
                      <a14:foregroundMark x1="49958" y1="35351" x2="48010" y2="32930"/>
                      <a14:foregroundMark x1="9066" y1="34400" x2="6868" y2="528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547" y="3603130"/>
          <a:ext cx="1509036" cy="519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2383324</xdr:colOff>
      <xdr:row>7</xdr:row>
      <xdr:rowOff>115421</xdr:rowOff>
    </xdr:from>
    <xdr:to>
      <xdr:col>2</xdr:col>
      <xdr:colOff>73480</xdr:colOff>
      <xdr:row>11</xdr:row>
      <xdr:rowOff>100544</xdr:rowOff>
    </xdr:to>
    <xdr:pic>
      <xdr:nvPicPr>
        <xdr:cNvPr id="14" name="Imagem 13" descr="Resultado de imagem para guarana log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3733" b="92691" l="0" r="100000">
                      <a14:foregroundMark x1="12850" y1="56532" x2="78750" y2="42068"/>
                      <a14:foregroundMark x1="76400" y1="84059" x2="11450" y2="81882"/>
                      <a14:foregroundMark x1="89400" y1="68818" x2="21700" y2="67418"/>
                      <a14:foregroundMark x1="58800" y1="58009" x2="28150" y2="33359"/>
                      <a14:foregroundMark x1="20750" y1="75350" x2="20750" y2="39891"/>
                      <a14:foregroundMark x1="57850" y1="57232" x2="83850" y2="493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524" y="1239371"/>
          <a:ext cx="1185831" cy="756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447286</xdr:colOff>
      <xdr:row>12</xdr:row>
      <xdr:rowOff>99917</xdr:rowOff>
    </xdr:from>
    <xdr:to>
      <xdr:col>1</xdr:col>
      <xdr:colOff>1541991</xdr:colOff>
      <xdr:row>18</xdr:row>
      <xdr:rowOff>36341</xdr:rowOff>
    </xdr:to>
    <xdr:pic>
      <xdr:nvPicPr>
        <xdr:cNvPr id="15" name="Imagem 14" descr="Resultado de imagem para red bu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ackgroundRemoval t="1953" b="100000" l="0" r="100000">
                      <a14:foregroundMark x1="15039" y1="68164" x2="18359" y2="72461"/>
                      <a14:foregroundMark x1="26172" y1="69531" x2="30078" y2="68164"/>
                      <a14:foregroundMark x1="40820" y1="65625" x2="45313" y2="66406"/>
                      <a14:foregroundMark x1="56445" y1="67188" x2="55469" y2="58398"/>
                      <a14:foregroundMark x1="71875" y1="71484" x2="70313" y2="65234"/>
                      <a14:foregroundMark x1="84961" y1="70117" x2="84766" y2="62695"/>
                      <a14:foregroundMark x1="89648" y1="66211" x2="89453" y2="58789"/>
                      <a14:backgroundMark x1="27539" y1="66211" x2="25977" y2="662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486" y="2185892"/>
          <a:ext cx="1094705" cy="107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586623</xdr:colOff>
      <xdr:row>19</xdr:row>
      <xdr:rowOff>87652</xdr:rowOff>
    </xdr:from>
    <xdr:to>
      <xdr:col>1</xdr:col>
      <xdr:colOff>1438472</xdr:colOff>
      <xdr:row>23</xdr:row>
      <xdr:rowOff>2117</xdr:rowOff>
    </xdr:to>
    <xdr:pic>
      <xdr:nvPicPr>
        <xdr:cNvPr id="16" name="Imagem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62823" y="3507127"/>
          <a:ext cx="851849" cy="676465"/>
        </a:xfrm>
        <a:prstGeom prst="rect">
          <a:avLst/>
        </a:prstGeom>
      </xdr:spPr>
    </xdr:pic>
    <xdr:clientData/>
  </xdr:twoCellAnchor>
  <xdr:twoCellAnchor>
    <xdr:from>
      <xdr:col>2</xdr:col>
      <xdr:colOff>638174</xdr:colOff>
      <xdr:row>9</xdr:row>
      <xdr:rowOff>171450</xdr:rowOff>
    </xdr:from>
    <xdr:to>
      <xdr:col>11</xdr:col>
      <xdr:colOff>1228725</xdr:colOff>
      <xdr:row>24</xdr:row>
      <xdr:rowOff>47625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171450</xdr:rowOff>
        </xdr:from>
        <xdr:to>
          <xdr:col>6</xdr:col>
          <xdr:colOff>1114425</xdr:colOff>
          <xdr:row>8</xdr:row>
          <xdr:rowOff>190500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171450</xdr:rowOff>
        </xdr:from>
        <xdr:to>
          <xdr:col>8</xdr:col>
          <xdr:colOff>1114425</xdr:colOff>
          <xdr:row>8</xdr:row>
          <xdr:rowOff>190500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2303318</xdr:colOff>
      <xdr:row>13</xdr:row>
      <xdr:rowOff>181841</xdr:rowOff>
    </xdr:from>
    <xdr:to>
      <xdr:col>2</xdr:col>
      <xdr:colOff>218003</xdr:colOff>
      <xdr:row>16</xdr:row>
      <xdr:rowOff>158269</xdr:rowOff>
    </xdr:to>
    <xdr:pic>
      <xdr:nvPicPr>
        <xdr:cNvPr id="20" name="Imagem 19" descr="Resultado de imagem para coca log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0" y="2459182"/>
          <a:ext cx="1412958" cy="5479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26"/>
  <sheetViews>
    <sheetView showGridLines="0" showRowColHeaders="0" tabSelected="1" zoomScaleNormal="100" workbookViewId="0"/>
  </sheetViews>
  <sheetFormatPr defaultColWidth="0" defaultRowHeight="15" zeroHeight="1"/>
  <cols>
    <col min="1" max="1" width="1.140625" style="1" customWidth="1"/>
    <col min="2" max="2" width="52.42578125" style="1" customWidth="1"/>
    <col min="3" max="3" width="16.7109375" style="1" customWidth="1"/>
    <col min="4" max="4" width="3.5703125" style="1" customWidth="1"/>
    <col min="5" max="5" width="16.85546875" style="1" customWidth="1"/>
    <col min="6" max="6" width="3.5703125" style="1" customWidth="1"/>
    <col min="7" max="7" width="16.85546875" style="1" customWidth="1"/>
    <col min="8" max="8" width="3.5703125" style="1" customWidth="1"/>
    <col min="9" max="9" width="16.85546875" style="1" customWidth="1"/>
    <col min="10" max="10" width="3.5703125" style="1" customWidth="1"/>
    <col min="11" max="11" width="16.85546875" style="1" customWidth="1"/>
    <col min="12" max="12" width="21.42578125" style="1" customWidth="1"/>
    <col min="13" max="13" width="0.7109375" style="1" customWidth="1"/>
    <col min="14" max="18" width="0" style="1" hidden="1" customWidth="1"/>
    <col min="19" max="19" width="177.140625" style="1" hidden="1" customWidth="1"/>
    <col min="20" max="26" width="0" style="1" hidden="1" customWidth="1"/>
    <col min="27" max="16384" width="9.140625" style="1" hidden="1"/>
  </cols>
  <sheetData>
    <row r="1" spans="2:12" s="16" customFormat="1" ht="4.5" customHeight="1"/>
    <row r="2" spans="2:12" ht="9" customHeight="1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2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2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2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6" spans="2:12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2:12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</row>
    <row r="8" spans="2:12">
      <c r="B8" s="11"/>
      <c r="C8" s="11"/>
      <c r="D8" s="11"/>
      <c r="E8" s="11"/>
      <c r="F8" s="12"/>
      <c r="G8" s="11"/>
      <c r="H8" s="12"/>
      <c r="I8" s="11"/>
      <c r="J8" s="12"/>
      <c r="K8" s="15"/>
      <c r="L8" s="13"/>
    </row>
    <row r="9" spans="2:12" ht="15.75">
      <c r="B9" s="11"/>
      <c r="C9" s="11"/>
      <c r="D9" s="11"/>
      <c r="E9" s="11"/>
      <c r="F9" s="11"/>
      <c r="G9" s="11"/>
      <c r="H9" s="11"/>
      <c r="I9" s="11"/>
      <c r="J9" s="11"/>
      <c r="K9" s="14">
        <v>21000</v>
      </c>
      <c r="L9" s="11"/>
    </row>
    <row r="10" spans="2:12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</row>
    <row r="11" spans="2:12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</row>
    <row r="12" spans="2:12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</row>
    <row r="13" spans="2:1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2:12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</row>
    <row r="15" spans="2:12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2:12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2:1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2:12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2:1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2:1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2:1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2:12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2:12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2:12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2:12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  <row r="26" spans="2:12" s="16" customFormat="1" ht="4.5" customHeight="1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3" name="Drop Down 17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" name="Drop Down 18">
              <controlPr defaultSize="0" autoLine="0" autoPict="0">
                <anchor moveWithCells="1">
                  <from>
                    <xdr:col>6</xdr:col>
                    <xdr:colOff>0</xdr:colOff>
                    <xdr:row>8</xdr:row>
                    <xdr:rowOff>9525</xdr:rowOff>
                  </from>
                  <to>
                    <xdr:col>7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Drop Down 21">
              <controlPr defaultSize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Spinner 22">
              <controlPr defaultSize="0" autoPict="0">
                <anchor moveWithCells="1" sizeWithCells="1">
                  <from>
                    <xdr:col>11</xdr:col>
                    <xdr:colOff>38100</xdr:colOff>
                    <xdr:row>6</xdr:row>
                    <xdr:rowOff>171450</xdr:rowOff>
                  </from>
                  <to>
                    <xdr:col>11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B84"/>
  <sheetViews>
    <sheetView showGridLines="0" zoomScale="90" zoomScaleNormal="90" workbookViewId="0">
      <selection activeCell="C3" sqref="C3"/>
    </sheetView>
  </sheetViews>
  <sheetFormatPr defaultRowHeight="15"/>
  <cols>
    <col min="1" max="1" width="5.5703125" style="2" bestFit="1" customWidth="1"/>
    <col min="2" max="2" width="9.140625" style="2"/>
    <col min="3" max="14" width="11.7109375" style="2" bestFit="1" customWidth="1"/>
    <col min="15" max="15" width="3.5703125" style="2" customWidth="1"/>
    <col min="17" max="28" width="9.85546875" bestFit="1" customWidth="1"/>
  </cols>
  <sheetData>
    <row r="1" spans="2:28" ht="15" customHeight="1">
      <c r="Q1" t="s">
        <v>7</v>
      </c>
      <c r="R1" t="s">
        <v>8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14</v>
      </c>
      <c r="Y1" t="s">
        <v>15</v>
      </c>
      <c r="Z1" t="s">
        <v>16</v>
      </c>
      <c r="AA1" t="s">
        <v>17</v>
      </c>
      <c r="AB1" t="s">
        <v>18</v>
      </c>
    </row>
    <row r="2" spans="2:28" ht="15" customHeight="1">
      <c r="B2" s="6">
        <v>2015</v>
      </c>
      <c r="C2" s="3">
        <v>42005</v>
      </c>
      <c r="D2" s="3">
        <v>42036</v>
      </c>
      <c r="E2" s="3">
        <v>42064</v>
      </c>
      <c r="F2" s="3">
        <v>42095</v>
      </c>
      <c r="G2" s="3">
        <v>42125</v>
      </c>
      <c r="H2" s="3">
        <v>42156</v>
      </c>
      <c r="I2" s="3">
        <v>42186</v>
      </c>
      <c r="J2" s="3">
        <v>42217</v>
      </c>
      <c r="K2" s="3">
        <v>42248</v>
      </c>
      <c r="L2" s="3">
        <v>42278</v>
      </c>
      <c r="M2" s="3">
        <v>42309</v>
      </c>
      <c r="N2" s="3">
        <v>42339</v>
      </c>
      <c r="P2" s="4" t="s">
        <v>0</v>
      </c>
      <c r="Q2" s="22">
        <v>2</v>
      </c>
      <c r="R2" s="23">
        <v>3</v>
      </c>
      <c r="S2" s="22">
        <v>4</v>
      </c>
      <c r="T2" s="23">
        <v>5</v>
      </c>
      <c r="U2" s="22">
        <v>6</v>
      </c>
      <c r="V2" s="23">
        <v>7</v>
      </c>
      <c r="W2" s="22">
        <v>8</v>
      </c>
      <c r="X2" s="23">
        <v>9</v>
      </c>
      <c r="Y2" s="22">
        <v>10</v>
      </c>
      <c r="Z2" s="23">
        <v>11</v>
      </c>
      <c r="AA2" s="22">
        <v>12</v>
      </c>
      <c r="AB2" s="23">
        <v>13</v>
      </c>
    </row>
    <row r="3" spans="2:28" ht="15" customHeight="1">
      <c r="B3" s="4" t="s">
        <v>0</v>
      </c>
      <c r="C3" s="5">
        <v>17967</v>
      </c>
      <c r="D3" s="5">
        <v>7626</v>
      </c>
      <c r="E3" s="5">
        <v>14684</v>
      </c>
      <c r="F3" s="5">
        <v>3619</v>
      </c>
      <c r="G3" s="5">
        <v>8343</v>
      </c>
      <c r="H3" s="5">
        <v>24630</v>
      </c>
      <c r="I3" s="5">
        <v>23368</v>
      </c>
      <c r="J3" s="5">
        <v>27359</v>
      </c>
      <c r="K3" s="5">
        <v>8136</v>
      </c>
      <c r="L3" s="5">
        <v>11074</v>
      </c>
      <c r="M3" s="5">
        <v>21548</v>
      </c>
      <c r="N3" s="5">
        <v>16812</v>
      </c>
      <c r="P3" s="6">
        <v>2015</v>
      </c>
      <c r="Q3" s="5">
        <v>17967</v>
      </c>
      <c r="R3" s="5">
        <v>7626</v>
      </c>
      <c r="S3" s="5">
        <v>14684</v>
      </c>
      <c r="T3" s="5">
        <v>3619</v>
      </c>
      <c r="U3" s="5">
        <v>8343</v>
      </c>
      <c r="V3" s="5">
        <v>24630</v>
      </c>
      <c r="W3" s="5">
        <v>23368</v>
      </c>
      <c r="X3" s="5">
        <v>27359</v>
      </c>
      <c r="Y3" s="5">
        <v>8136</v>
      </c>
      <c r="Z3" s="5">
        <v>11074</v>
      </c>
      <c r="AA3" s="5">
        <v>21548</v>
      </c>
      <c r="AB3" s="5">
        <v>16812</v>
      </c>
    </row>
    <row r="4" spans="2:28" ht="15" customHeight="1">
      <c r="B4" s="4" t="s">
        <v>1</v>
      </c>
      <c r="C4" s="5">
        <v>4410</v>
      </c>
      <c r="D4" s="5">
        <v>6653</v>
      </c>
      <c r="E4" s="5">
        <v>9204</v>
      </c>
      <c r="F4" s="5">
        <v>17062</v>
      </c>
      <c r="G4" s="5">
        <v>1412</v>
      </c>
      <c r="H4" s="5">
        <v>10904</v>
      </c>
      <c r="I4" s="5">
        <v>26600</v>
      </c>
      <c r="J4" s="5">
        <v>20778</v>
      </c>
      <c r="K4" s="5">
        <v>11634</v>
      </c>
      <c r="L4" s="5">
        <v>3387</v>
      </c>
      <c r="M4" s="5">
        <v>5745</v>
      </c>
      <c r="N4" s="5">
        <v>25988</v>
      </c>
      <c r="P4" s="6">
        <v>2016</v>
      </c>
      <c r="Q4" s="5">
        <v>5951</v>
      </c>
      <c r="R4" s="5">
        <v>5575</v>
      </c>
      <c r="S4" s="5">
        <v>4179</v>
      </c>
      <c r="T4" s="5">
        <v>9616</v>
      </c>
      <c r="U4" s="5">
        <v>10217</v>
      </c>
      <c r="V4" s="5">
        <v>22618</v>
      </c>
      <c r="W4" s="5">
        <v>27412</v>
      </c>
      <c r="X4" s="5">
        <v>7798</v>
      </c>
      <c r="Y4" s="5">
        <v>19580</v>
      </c>
      <c r="Z4" s="5">
        <v>2366</v>
      </c>
      <c r="AA4" s="5">
        <v>9074</v>
      </c>
      <c r="AB4" s="5">
        <v>4573</v>
      </c>
    </row>
    <row r="5" spans="2:28" ht="15" customHeight="1">
      <c r="B5" s="4" t="s">
        <v>2</v>
      </c>
      <c r="C5" s="5">
        <v>15399</v>
      </c>
      <c r="D5" s="5">
        <v>21385</v>
      </c>
      <c r="E5" s="5">
        <v>11105</v>
      </c>
      <c r="F5" s="5">
        <v>19493</v>
      </c>
      <c r="G5" s="5">
        <v>21894</v>
      </c>
      <c r="H5" s="5">
        <v>7527</v>
      </c>
      <c r="I5" s="5">
        <v>21790</v>
      </c>
      <c r="J5" s="5">
        <v>13614</v>
      </c>
      <c r="K5" s="5">
        <v>20555</v>
      </c>
      <c r="L5" s="5">
        <v>19554</v>
      </c>
      <c r="M5" s="5">
        <v>23938</v>
      </c>
      <c r="N5" s="5">
        <v>8267</v>
      </c>
      <c r="P5" s="6">
        <v>2017</v>
      </c>
      <c r="Q5" s="5">
        <v>23403</v>
      </c>
      <c r="R5" s="5">
        <v>13212</v>
      </c>
      <c r="S5" s="5">
        <v>21386</v>
      </c>
      <c r="T5" s="5">
        <v>10947</v>
      </c>
      <c r="U5" s="5">
        <v>27753</v>
      </c>
      <c r="V5" s="5">
        <v>27555</v>
      </c>
      <c r="W5" s="5">
        <v>10435</v>
      </c>
      <c r="X5" s="5">
        <v>21384</v>
      </c>
      <c r="Y5" s="5">
        <v>18634</v>
      </c>
      <c r="Z5" s="5">
        <v>20452</v>
      </c>
      <c r="AA5" s="5">
        <v>13318</v>
      </c>
      <c r="AB5" s="5">
        <v>26916</v>
      </c>
    </row>
    <row r="6" spans="2:28" ht="15" customHeight="1">
      <c r="B6" s="4" t="s">
        <v>5</v>
      </c>
      <c r="C6" s="5">
        <v>23276</v>
      </c>
      <c r="D6" s="5">
        <v>1531</v>
      </c>
      <c r="E6" s="5">
        <v>20112</v>
      </c>
      <c r="F6" s="5">
        <v>10757</v>
      </c>
      <c r="G6" s="5">
        <v>2073</v>
      </c>
      <c r="H6" s="5">
        <v>3016</v>
      </c>
      <c r="I6" s="5">
        <v>3815</v>
      </c>
      <c r="J6" s="5">
        <v>15674</v>
      </c>
      <c r="K6" s="5">
        <v>27025</v>
      </c>
      <c r="L6" s="5">
        <v>9656</v>
      </c>
      <c r="M6" s="5">
        <v>5001</v>
      </c>
      <c r="N6" s="5">
        <v>26001</v>
      </c>
      <c r="P6">
        <f>INDEX(P3:P5,Q8)</f>
        <v>2016</v>
      </c>
      <c r="Q6" s="5">
        <f>VLOOKUP($P$6,$P$3:$AB$5,Q2,0)</f>
        <v>5951</v>
      </c>
      <c r="R6" s="5">
        <f t="shared" ref="R6:AB6" si="0">VLOOKUP($P$6,$P$3:$AB$5,R2,0)</f>
        <v>5575</v>
      </c>
      <c r="S6" s="5">
        <f t="shared" si="0"/>
        <v>4179</v>
      </c>
      <c r="T6" s="5">
        <f t="shared" si="0"/>
        <v>9616</v>
      </c>
      <c r="U6" s="5">
        <f t="shared" si="0"/>
        <v>10217</v>
      </c>
      <c r="V6" s="5">
        <f t="shared" si="0"/>
        <v>22618</v>
      </c>
      <c r="W6" s="5">
        <f t="shared" si="0"/>
        <v>27412</v>
      </c>
      <c r="X6" s="5">
        <f t="shared" si="0"/>
        <v>7798</v>
      </c>
      <c r="Y6" s="5">
        <f t="shared" si="0"/>
        <v>19580</v>
      </c>
      <c r="Z6" s="5">
        <f t="shared" si="0"/>
        <v>2366</v>
      </c>
      <c r="AA6" s="5">
        <f t="shared" si="0"/>
        <v>9074</v>
      </c>
      <c r="AB6" s="5">
        <f t="shared" si="0"/>
        <v>4573</v>
      </c>
    </row>
    <row r="7" spans="2:28" ht="15" customHeight="1">
      <c r="B7" s="4" t="s">
        <v>4</v>
      </c>
      <c r="C7" s="5">
        <v>8594</v>
      </c>
      <c r="D7" s="5">
        <v>26915</v>
      </c>
      <c r="E7" s="5">
        <v>2855</v>
      </c>
      <c r="F7" s="5">
        <v>9838</v>
      </c>
      <c r="G7" s="5">
        <v>26763</v>
      </c>
      <c r="H7" s="5">
        <v>3350</v>
      </c>
      <c r="I7" s="5">
        <v>5281</v>
      </c>
      <c r="J7" s="5">
        <v>16709</v>
      </c>
      <c r="K7" s="5">
        <v>17058</v>
      </c>
      <c r="L7" s="5">
        <v>2539</v>
      </c>
      <c r="M7" s="5">
        <v>23299</v>
      </c>
      <c r="N7" s="5">
        <v>14178</v>
      </c>
      <c r="P7">
        <f>INDEX(P3:P5,R8)</f>
        <v>2017</v>
      </c>
      <c r="Q7" s="5">
        <f>VLOOKUP($P$7,$P$3:$AB$5,Q2,0)</f>
        <v>23403</v>
      </c>
      <c r="R7" s="5">
        <f t="shared" ref="R7:AA7" si="1">VLOOKUP($P$7,$P$3:$AB$5,R2,0)</f>
        <v>13212</v>
      </c>
      <c r="S7" s="5">
        <f t="shared" si="1"/>
        <v>21386</v>
      </c>
      <c r="T7" s="5">
        <f t="shared" si="1"/>
        <v>10947</v>
      </c>
      <c r="U7" s="5">
        <f t="shared" si="1"/>
        <v>27753</v>
      </c>
      <c r="V7" s="5">
        <f t="shared" si="1"/>
        <v>27555</v>
      </c>
      <c r="W7" s="5">
        <f t="shared" si="1"/>
        <v>10435</v>
      </c>
      <c r="X7" s="5">
        <f t="shared" si="1"/>
        <v>21384</v>
      </c>
      <c r="Y7" s="5">
        <f t="shared" si="1"/>
        <v>18634</v>
      </c>
      <c r="Z7" s="5">
        <f t="shared" si="1"/>
        <v>20452</v>
      </c>
      <c r="AA7" s="5">
        <f t="shared" si="1"/>
        <v>13318</v>
      </c>
      <c r="AB7" s="5">
        <f>VLOOKUP($P$7,$P$3:$AB$5,AB2,0)</f>
        <v>26916</v>
      </c>
    </row>
    <row r="8" spans="2:28" ht="15" customHeight="1">
      <c r="B8" s="4" t="s">
        <v>3</v>
      </c>
      <c r="C8" s="5">
        <v>29404</v>
      </c>
      <c r="D8" s="5">
        <v>18104</v>
      </c>
      <c r="E8" s="5">
        <v>8762</v>
      </c>
      <c r="F8" s="5">
        <v>1362</v>
      </c>
      <c r="G8" s="5">
        <v>18206</v>
      </c>
      <c r="H8" s="5">
        <v>15125</v>
      </c>
      <c r="I8" s="5">
        <v>18140</v>
      </c>
      <c r="J8" s="5">
        <v>10433</v>
      </c>
      <c r="K8" s="5">
        <v>26924</v>
      </c>
      <c r="L8" s="5">
        <v>5606</v>
      </c>
      <c r="M8" s="5">
        <v>18979</v>
      </c>
      <c r="N8" s="5">
        <v>1009</v>
      </c>
      <c r="Q8">
        <v>2</v>
      </c>
      <c r="R8">
        <v>3</v>
      </c>
    </row>
    <row r="9" spans="2:28" ht="15" customHeight="1">
      <c r="P9" s="4" t="s">
        <v>1</v>
      </c>
      <c r="Q9" s="22">
        <v>2</v>
      </c>
      <c r="R9" s="23">
        <v>3</v>
      </c>
      <c r="S9" s="22">
        <v>4</v>
      </c>
      <c r="T9" s="23">
        <v>5</v>
      </c>
      <c r="U9" s="22">
        <v>6</v>
      </c>
      <c r="V9" s="23">
        <v>7</v>
      </c>
      <c r="W9" s="22">
        <v>8</v>
      </c>
      <c r="X9" s="23">
        <v>9</v>
      </c>
      <c r="Y9" s="22">
        <v>10</v>
      </c>
      <c r="Z9" s="23">
        <v>11</v>
      </c>
      <c r="AA9" s="22">
        <v>12</v>
      </c>
      <c r="AB9" s="23">
        <v>13</v>
      </c>
    </row>
    <row r="10" spans="2:28" ht="15" customHeight="1">
      <c r="B10" s="6">
        <v>2016</v>
      </c>
      <c r="C10" s="3">
        <v>42370</v>
      </c>
      <c r="D10" s="3">
        <v>42401</v>
      </c>
      <c r="E10" s="3">
        <v>42430</v>
      </c>
      <c r="F10" s="3">
        <v>42461</v>
      </c>
      <c r="G10" s="3">
        <v>42491</v>
      </c>
      <c r="H10" s="3">
        <v>42522</v>
      </c>
      <c r="I10" s="3">
        <v>42552</v>
      </c>
      <c r="J10" s="3">
        <v>42583</v>
      </c>
      <c r="K10" s="3">
        <v>42614</v>
      </c>
      <c r="L10" s="3">
        <v>42644</v>
      </c>
      <c r="M10" s="3">
        <v>42675</v>
      </c>
      <c r="N10" s="3">
        <v>42705</v>
      </c>
      <c r="P10" s="6">
        <v>2015</v>
      </c>
      <c r="Q10" s="5">
        <v>4410</v>
      </c>
      <c r="R10" s="5">
        <v>6653</v>
      </c>
      <c r="S10" s="5">
        <v>9204</v>
      </c>
      <c r="T10" s="5">
        <v>17062</v>
      </c>
      <c r="U10" s="5">
        <v>1412</v>
      </c>
      <c r="V10" s="5">
        <v>10904</v>
      </c>
      <c r="W10" s="5">
        <v>26600</v>
      </c>
      <c r="X10" s="5">
        <v>20778</v>
      </c>
      <c r="Y10" s="5">
        <v>11634</v>
      </c>
      <c r="Z10" s="5">
        <v>3387</v>
      </c>
      <c r="AA10" s="5">
        <v>5745</v>
      </c>
      <c r="AB10" s="5">
        <v>25988</v>
      </c>
    </row>
    <row r="11" spans="2:28" ht="15" customHeight="1">
      <c r="B11" s="4" t="s">
        <v>0</v>
      </c>
      <c r="C11" s="5">
        <v>5951</v>
      </c>
      <c r="D11" s="5">
        <v>5575</v>
      </c>
      <c r="E11" s="5">
        <v>4179</v>
      </c>
      <c r="F11" s="5">
        <v>9616</v>
      </c>
      <c r="G11" s="5">
        <v>10217</v>
      </c>
      <c r="H11" s="5">
        <v>22618</v>
      </c>
      <c r="I11" s="5">
        <v>27412</v>
      </c>
      <c r="J11" s="5">
        <v>7798</v>
      </c>
      <c r="K11" s="5">
        <v>19580</v>
      </c>
      <c r="L11" s="5">
        <v>2366</v>
      </c>
      <c r="M11" s="5">
        <v>9074</v>
      </c>
      <c r="N11" s="5">
        <v>4573</v>
      </c>
      <c r="P11" s="6">
        <v>2016</v>
      </c>
      <c r="Q11" s="5">
        <v>6349</v>
      </c>
      <c r="R11" s="5">
        <v>4199</v>
      </c>
      <c r="S11" s="5">
        <v>3729</v>
      </c>
      <c r="T11" s="5">
        <v>15505</v>
      </c>
      <c r="U11" s="5">
        <v>19670</v>
      </c>
      <c r="V11" s="5">
        <v>16121</v>
      </c>
      <c r="W11" s="5">
        <v>7058</v>
      </c>
      <c r="X11" s="5">
        <v>16925</v>
      </c>
      <c r="Y11" s="5">
        <v>23929</v>
      </c>
      <c r="Z11" s="5">
        <v>13913</v>
      </c>
      <c r="AA11" s="5">
        <v>3544</v>
      </c>
      <c r="AB11" s="5">
        <v>2430</v>
      </c>
    </row>
    <row r="12" spans="2:28" ht="15" customHeight="1">
      <c r="B12" s="4" t="s">
        <v>1</v>
      </c>
      <c r="C12" s="5">
        <v>6349</v>
      </c>
      <c r="D12" s="5">
        <v>4199</v>
      </c>
      <c r="E12" s="5">
        <v>3729</v>
      </c>
      <c r="F12" s="5">
        <v>15505</v>
      </c>
      <c r="G12" s="5">
        <v>19670</v>
      </c>
      <c r="H12" s="5">
        <v>16121</v>
      </c>
      <c r="I12" s="5">
        <v>7058</v>
      </c>
      <c r="J12" s="5">
        <v>16925</v>
      </c>
      <c r="K12" s="5">
        <v>23929</v>
      </c>
      <c r="L12" s="5">
        <v>13913</v>
      </c>
      <c r="M12" s="5">
        <v>3544</v>
      </c>
      <c r="N12" s="5">
        <v>2430</v>
      </c>
      <c r="P12" s="6">
        <v>2017</v>
      </c>
      <c r="Q12" s="5">
        <v>5962</v>
      </c>
      <c r="R12" s="5">
        <v>27690</v>
      </c>
      <c r="S12" s="5">
        <v>13355</v>
      </c>
      <c r="T12" s="5">
        <v>5593</v>
      </c>
      <c r="U12" s="5">
        <v>19303</v>
      </c>
      <c r="V12" s="5">
        <v>1680</v>
      </c>
      <c r="W12" s="5">
        <v>11459</v>
      </c>
      <c r="X12" s="5">
        <v>7325</v>
      </c>
      <c r="Y12" s="5">
        <v>16360</v>
      </c>
      <c r="Z12" s="5">
        <v>24893</v>
      </c>
      <c r="AA12" s="5">
        <v>7527</v>
      </c>
      <c r="AB12" s="5">
        <v>12998</v>
      </c>
    </row>
    <row r="13" spans="2:28" ht="15" customHeight="1">
      <c r="B13" s="4" t="s">
        <v>2</v>
      </c>
      <c r="C13" s="5">
        <v>26479</v>
      </c>
      <c r="D13" s="5">
        <v>12800</v>
      </c>
      <c r="E13" s="5">
        <v>6888</v>
      </c>
      <c r="F13" s="5">
        <v>27967</v>
      </c>
      <c r="G13" s="5">
        <v>5266</v>
      </c>
      <c r="H13" s="5">
        <v>21352</v>
      </c>
      <c r="I13" s="5">
        <v>27302</v>
      </c>
      <c r="J13" s="5">
        <v>16229</v>
      </c>
      <c r="K13" s="5">
        <v>12227</v>
      </c>
      <c r="L13" s="5">
        <v>9060</v>
      </c>
      <c r="M13" s="5">
        <v>16734</v>
      </c>
      <c r="N13" s="5">
        <v>4845</v>
      </c>
      <c r="P13">
        <f>INDEX(P10:P12,Q15)</f>
        <v>2016</v>
      </c>
      <c r="Q13" s="5">
        <f>VLOOKUP($P$13,$P$10:$AB$12,Q9,0)</f>
        <v>6349</v>
      </c>
      <c r="R13" s="5">
        <f t="shared" ref="R13:AB13" si="2">VLOOKUP($P$13,$P$10:$AB$12,R9,0)</f>
        <v>4199</v>
      </c>
      <c r="S13" s="5">
        <f t="shared" si="2"/>
        <v>3729</v>
      </c>
      <c r="T13" s="5">
        <f t="shared" si="2"/>
        <v>15505</v>
      </c>
      <c r="U13" s="5">
        <f t="shared" si="2"/>
        <v>19670</v>
      </c>
      <c r="V13" s="5">
        <f t="shared" si="2"/>
        <v>16121</v>
      </c>
      <c r="W13" s="5">
        <f t="shared" si="2"/>
        <v>7058</v>
      </c>
      <c r="X13" s="5">
        <f t="shared" si="2"/>
        <v>16925</v>
      </c>
      <c r="Y13" s="5">
        <f t="shared" si="2"/>
        <v>23929</v>
      </c>
      <c r="Z13" s="5">
        <f t="shared" si="2"/>
        <v>13913</v>
      </c>
      <c r="AA13" s="5">
        <f t="shared" si="2"/>
        <v>3544</v>
      </c>
      <c r="AB13" s="5">
        <f t="shared" si="2"/>
        <v>2430</v>
      </c>
    </row>
    <row r="14" spans="2:28" ht="15" customHeight="1">
      <c r="B14" s="4" t="s">
        <v>5</v>
      </c>
      <c r="C14" s="5">
        <v>29703</v>
      </c>
      <c r="D14" s="5">
        <v>26882</v>
      </c>
      <c r="E14" s="5">
        <v>16093</v>
      </c>
      <c r="F14" s="5">
        <v>20072</v>
      </c>
      <c r="G14" s="5">
        <v>16900</v>
      </c>
      <c r="H14" s="5">
        <v>18906</v>
      </c>
      <c r="I14" s="5">
        <v>8243</v>
      </c>
      <c r="J14" s="5">
        <v>29649</v>
      </c>
      <c r="K14" s="5">
        <v>19394</v>
      </c>
      <c r="L14" s="5">
        <v>1476</v>
      </c>
      <c r="M14" s="5">
        <v>1063</v>
      </c>
      <c r="N14" s="5">
        <v>3737</v>
      </c>
      <c r="P14">
        <f>INDEX(P10:P12,R15)</f>
        <v>2017</v>
      </c>
      <c r="Q14" s="5">
        <f>VLOOKUP($P$14,$P$10:$AB$12,Q9,0)</f>
        <v>5962</v>
      </c>
      <c r="R14" s="5">
        <f t="shared" ref="R14:AB14" si="3">VLOOKUP($P$14,$P$10:$AB$12,R9,0)</f>
        <v>27690</v>
      </c>
      <c r="S14" s="5">
        <f t="shared" si="3"/>
        <v>13355</v>
      </c>
      <c r="T14" s="5">
        <f t="shared" si="3"/>
        <v>5593</v>
      </c>
      <c r="U14" s="5">
        <f t="shared" si="3"/>
        <v>19303</v>
      </c>
      <c r="V14" s="5">
        <f t="shared" si="3"/>
        <v>1680</v>
      </c>
      <c r="W14" s="5">
        <f t="shared" si="3"/>
        <v>11459</v>
      </c>
      <c r="X14" s="5">
        <f t="shared" si="3"/>
        <v>7325</v>
      </c>
      <c r="Y14" s="5">
        <f t="shared" si="3"/>
        <v>16360</v>
      </c>
      <c r="Z14" s="5">
        <f t="shared" si="3"/>
        <v>24893</v>
      </c>
      <c r="AA14" s="5">
        <f t="shared" si="3"/>
        <v>7527</v>
      </c>
      <c r="AB14" s="5">
        <f t="shared" si="3"/>
        <v>12998</v>
      </c>
    </row>
    <row r="15" spans="2:28" ht="15" customHeight="1">
      <c r="B15" s="4" t="s">
        <v>4</v>
      </c>
      <c r="C15" s="5">
        <v>18066</v>
      </c>
      <c r="D15" s="5">
        <v>11607</v>
      </c>
      <c r="E15" s="5">
        <v>3063</v>
      </c>
      <c r="F15" s="5">
        <v>10044</v>
      </c>
      <c r="G15" s="5">
        <v>10074</v>
      </c>
      <c r="H15" s="5">
        <v>16476</v>
      </c>
      <c r="I15" s="5">
        <v>20820</v>
      </c>
      <c r="J15" s="5">
        <v>6470</v>
      </c>
      <c r="K15" s="5">
        <v>13918</v>
      </c>
      <c r="L15" s="5">
        <v>9845</v>
      </c>
      <c r="M15" s="5">
        <v>18552</v>
      </c>
      <c r="N15" s="5">
        <v>3044</v>
      </c>
      <c r="Q15">
        <v>2</v>
      </c>
      <c r="R15">
        <v>3</v>
      </c>
    </row>
    <row r="16" spans="2:28" ht="15" customHeight="1">
      <c r="B16" s="4" t="s">
        <v>3</v>
      </c>
      <c r="C16" s="5">
        <v>8506</v>
      </c>
      <c r="D16" s="5">
        <v>7978</v>
      </c>
      <c r="E16" s="5">
        <v>26828</v>
      </c>
      <c r="F16" s="5">
        <v>19337</v>
      </c>
      <c r="G16" s="5">
        <v>5158</v>
      </c>
      <c r="H16" s="5">
        <v>3821</v>
      </c>
      <c r="I16" s="5">
        <v>23094</v>
      </c>
      <c r="J16" s="5">
        <v>23305</v>
      </c>
      <c r="K16" s="5">
        <v>29078</v>
      </c>
      <c r="L16" s="5">
        <v>23134</v>
      </c>
      <c r="M16" s="5">
        <v>3697</v>
      </c>
      <c r="N16" s="5">
        <v>24863</v>
      </c>
      <c r="P16" s="4" t="s">
        <v>2</v>
      </c>
      <c r="Q16" s="22">
        <v>2</v>
      </c>
      <c r="R16" s="23">
        <v>3</v>
      </c>
      <c r="S16" s="22">
        <v>4</v>
      </c>
      <c r="T16" s="23">
        <v>5</v>
      </c>
      <c r="U16" s="22">
        <v>6</v>
      </c>
      <c r="V16" s="23">
        <v>7</v>
      </c>
      <c r="W16" s="22">
        <v>8</v>
      </c>
      <c r="X16" s="23">
        <v>9</v>
      </c>
      <c r="Y16" s="22">
        <v>10</v>
      </c>
      <c r="Z16" s="23">
        <v>11</v>
      </c>
      <c r="AA16" s="22">
        <v>12</v>
      </c>
      <c r="AB16" s="23">
        <v>13</v>
      </c>
    </row>
    <row r="17" spans="1:28" ht="15" customHeight="1">
      <c r="P17" s="6">
        <v>2015</v>
      </c>
      <c r="Q17" s="5">
        <v>15399</v>
      </c>
      <c r="R17" s="5">
        <v>21385</v>
      </c>
      <c r="S17" s="5">
        <v>11105</v>
      </c>
      <c r="T17" s="5">
        <v>19493</v>
      </c>
      <c r="U17" s="5">
        <v>21894</v>
      </c>
      <c r="V17" s="5">
        <v>7527</v>
      </c>
      <c r="W17" s="5">
        <v>21790</v>
      </c>
      <c r="X17" s="5">
        <v>13614</v>
      </c>
      <c r="Y17" s="5">
        <v>20555</v>
      </c>
      <c r="Z17" s="5">
        <v>19554</v>
      </c>
      <c r="AA17" s="5">
        <v>23938</v>
      </c>
      <c r="AB17" s="5">
        <v>8267</v>
      </c>
    </row>
    <row r="18" spans="1:28" ht="15" customHeight="1">
      <c r="B18" s="6">
        <v>2017</v>
      </c>
      <c r="C18" s="3">
        <v>42736</v>
      </c>
      <c r="D18" s="3">
        <v>42767</v>
      </c>
      <c r="E18" s="3">
        <v>42795</v>
      </c>
      <c r="F18" s="3">
        <v>42826</v>
      </c>
      <c r="G18" s="3">
        <v>42856</v>
      </c>
      <c r="H18" s="3">
        <v>42887</v>
      </c>
      <c r="I18" s="3">
        <v>42917</v>
      </c>
      <c r="J18" s="3">
        <v>42948</v>
      </c>
      <c r="K18" s="3">
        <v>42979</v>
      </c>
      <c r="L18" s="3">
        <v>43009</v>
      </c>
      <c r="M18" s="3">
        <v>43040</v>
      </c>
      <c r="N18" s="3">
        <v>43070</v>
      </c>
      <c r="P18" s="6">
        <v>2016</v>
      </c>
      <c r="Q18" s="5">
        <v>26479</v>
      </c>
      <c r="R18" s="5">
        <v>12800</v>
      </c>
      <c r="S18" s="5">
        <v>6888</v>
      </c>
      <c r="T18" s="5">
        <v>27967</v>
      </c>
      <c r="U18" s="5">
        <v>5266</v>
      </c>
      <c r="V18" s="5">
        <v>21352</v>
      </c>
      <c r="W18" s="5">
        <v>27302</v>
      </c>
      <c r="X18" s="5">
        <v>16229</v>
      </c>
      <c r="Y18" s="5">
        <v>12227</v>
      </c>
      <c r="Z18" s="5">
        <v>9060</v>
      </c>
      <c r="AA18" s="5">
        <v>16734</v>
      </c>
      <c r="AB18" s="5">
        <v>4845</v>
      </c>
    </row>
    <row r="19" spans="1:28" ht="15" customHeight="1">
      <c r="B19" s="4" t="s">
        <v>0</v>
      </c>
      <c r="C19" s="5">
        <v>23403</v>
      </c>
      <c r="D19" s="5">
        <v>13212</v>
      </c>
      <c r="E19" s="5">
        <v>21386</v>
      </c>
      <c r="F19" s="5">
        <v>10947</v>
      </c>
      <c r="G19" s="5">
        <v>27753</v>
      </c>
      <c r="H19" s="5">
        <v>27555</v>
      </c>
      <c r="I19" s="5">
        <v>10435</v>
      </c>
      <c r="J19" s="5">
        <v>21384</v>
      </c>
      <c r="K19" s="5">
        <v>18634</v>
      </c>
      <c r="L19" s="5">
        <v>20452</v>
      </c>
      <c r="M19" s="5">
        <v>13318</v>
      </c>
      <c r="N19" s="5">
        <v>26916</v>
      </c>
      <c r="P19" s="6">
        <v>2017</v>
      </c>
      <c r="Q19" s="5">
        <v>10441</v>
      </c>
      <c r="R19" s="5">
        <v>13107</v>
      </c>
      <c r="S19" s="5">
        <v>12384</v>
      </c>
      <c r="T19" s="5">
        <v>29955</v>
      </c>
      <c r="U19" s="5">
        <v>15951</v>
      </c>
      <c r="V19" s="5">
        <v>15482</v>
      </c>
      <c r="W19" s="5">
        <v>29815</v>
      </c>
      <c r="X19" s="5">
        <v>10909</v>
      </c>
      <c r="Y19" s="5">
        <v>1939</v>
      </c>
      <c r="Z19" s="5">
        <v>28503</v>
      </c>
      <c r="AA19" s="5">
        <v>16042</v>
      </c>
      <c r="AB19" s="5">
        <v>11249</v>
      </c>
    </row>
    <row r="20" spans="1:28" ht="15" customHeight="1">
      <c r="B20" s="4" t="s">
        <v>1</v>
      </c>
      <c r="C20" s="5">
        <v>5962</v>
      </c>
      <c r="D20" s="5">
        <v>27690</v>
      </c>
      <c r="E20" s="5">
        <v>13355</v>
      </c>
      <c r="F20" s="5">
        <v>5593</v>
      </c>
      <c r="G20" s="5">
        <v>19303</v>
      </c>
      <c r="H20" s="5">
        <v>1680</v>
      </c>
      <c r="I20" s="5">
        <v>11459</v>
      </c>
      <c r="J20" s="5">
        <v>7325</v>
      </c>
      <c r="K20" s="5">
        <v>16360</v>
      </c>
      <c r="L20" s="5">
        <v>24893</v>
      </c>
      <c r="M20" s="5">
        <v>7527</v>
      </c>
      <c r="N20" s="5">
        <v>12998</v>
      </c>
      <c r="P20">
        <f>INDEX(P17:P19,Q22)</f>
        <v>2017</v>
      </c>
      <c r="Q20" s="5">
        <f>VLOOKUP($P$20,$P$17:$AB$19,Q16,0)</f>
        <v>10441</v>
      </c>
      <c r="R20" s="5">
        <f t="shared" ref="R20:AB20" si="4">VLOOKUP($P$20,$P$17:$AB$19,R16,0)</f>
        <v>13107</v>
      </c>
      <c r="S20" s="5">
        <f t="shared" si="4"/>
        <v>12384</v>
      </c>
      <c r="T20" s="5">
        <f t="shared" si="4"/>
        <v>29955</v>
      </c>
      <c r="U20" s="5">
        <f t="shared" si="4"/>
        <v>15951</v>
      </c>
      <c r="V20" s="5">
        <f t="shared" si="4"/>
        <v>15482</v>
      </c>
      <c r="W20" s="5">
        <f t="shared" si="4"/>
        <v>29815</v>
      </c>
      <c r="X20" s="5">
        <f t="shared" si="4"/>
        <v>10909</v>
      </c>
      <c r="Y20" s="5">
        <f t="shared" si="4"/>
        <v>1939</v>
      </c>
      <c r="Z20" s="5">
        <f t="shared" si="4"/>
        <v>28503</v>
      </c>
      <c r="AA20" s="5">
        <f t="shared" si="4"/>
        <v>16042</v>
      </c>
      <c r="AB20" s="5">
        <f t="shared" si="4"/>
        <v>11249</v>
      </c>
    </row>
    <row r="21" spans="1:28" ht="15" customHeight="1">
      <c r="B21" s="4" t="s">
        <v>2</v>
      </c>
      <c r="C21" s="5">
        <v>10441</v>
      </c>
      <c r="D21" s="5">
        <v>13107</v>
      </c>
      <c r="E21" s="5">
        <v>12384</v>
      </c>
      <c r="F21" s="5">
        <v>29955</v>
      </c>
      <c r="G21" s="5">
        <v>15951</v>
      </c>
      <c r="H21" s="5">
        <v>15482</v>
      </c>
      <c r="I21" s="5">
        <v>29815</v>
      </c>
      <c r="J21" s="5">
        <v>10909</v>
      </c>
      <c r="K21" s="5">
        <v>1939</v>
      </c>
      <c r="L21" s="5">
        <v>28503</v>
      </c>
      <c r="M21" s="5">
        <v>16042</v>
      </c>
      <c r="N21" s="5">
        <v>11249</v>
      </c>
      <c r="P21">
        <f>INDEX(P17:P19,R22)</f>
        <v>2015</v>
      </c>
      <c r="Q21" s="5">
        <f>VLOOKUP($P$21,$P$17:$AB$19,Q16,0)</f>
        <v>15399</v>
      </c>
      <c r="R21" s="5">
        <f t="shared" ref="R21:AB21" si="5">VLOOKUP($P$21,$P$17:$AB$19,R16,0)</f>
        <v>21385</v>
      </c>
      <c r="S21" s="5">
        <f t="shared" si="5"/>
        <v>11105</v>
      </c>
      <c r="T21" s="5">
        <f t="shared" si="5"/>
        <v>19493</v>
      </c>
      <c r="U21" s="5">
        <f t="shared" si="5"/>
        <v>21894</v>
      </c>
      <c r="V21" s="5">
        <f t="shared" si="5"/>
        <v>7527</v>
      </c>
      <c r="W21" s="5">
        <f t="shared" si="5"/>
        <v>21790</v>
      </c>
      <c r="X21" s="5">
        <f t="shared" si="5"/>
        <v>13614</v>
      </c>
      <c r="Y21" s="5">
        <f t="shared" si="5"/>
        <v>20555</v>
      </c>
      <c r="Z21" s="5">
        <f t="shared" si="5"/>
        <v>19554</v>
      </c>
      <c r="AA21" s="5">
        <f t="shared" si="5"/>
        <v>23938</v>
      </c>
      <c r="AB21" s="5">
        <f t="shared" si="5"/>
        <v>8267</v>
      </c>
    </row>
    <row r="22" spans="1:28" ht="15" customHeight="1">
      <c r="B22" s="4" t="s">
        <v>5</v>
      </c>
      <c r="C22" s="5">
        <v>19234</v>
      </c>
      <c r="D22" s="5">
        <v>27202</v>
      </c>
      <c r="E22" s="5">
        <v>5903</v>
      </c>
      <c r="F22" s="5">
        <v>8776</v>
      </c>
      <c r="G22" s="5">
        <v>3305</v>
      </c>
      <c r="H22" s="5">
        <v>25252</v>
      </c>
      <c r="I22" s="5">
        <v>28926</v>
      </c>
      <c r="J22" s="5">
        <v>24295</v>
      </c>
      <c r="K22" s="5">
        <v>17704</v>
      </c>
      <c r="L22" s="5">
        <v>13869</v>
      </c>
      <c r="M22" s="5">
        <v>18686</v>
      </c>
      <c r="N22" s="5">
        <v>22093</v>
      </c>
      <c r="Q22">
        <v>3</v>
      </c>
      <c r="R22">
        <v>1</v>
      </c>
    </row>
    <row r="23" spans="1:28" ht="15" customHeight="1">
      <c r="B23" s="4" t="s">
        <v>4</v>
      </c>
      <c r="C23" s="5">
        <v>6578</v>
      </c>
      <c r="D23" s="5">
        <v>17386</v>
      </c>
      <c r="E23" s="5">
        <v>13462</v>
      </c>
      <c r="F23" s="5">
        <v>15653</v>
      </c>
      <c r="G23" s="5">
        <v>24770</v>
      </c>
      <c r="H23" s="5">
        <v>12006</v>
      </c>
      <c r="I23" s="5">
        <v>12622</v>
      </c>
      <c r="J23" s="5">
        <v>16333</v>
      </c>
      <c r="K23" s="5">
        <v>25023</v>
      </c>
      <c r="L23" s="5">
        <v>3109</v>
      </c>
      <c r="M23" s="5">
        <v>14640</v>
      </c>
      <c r="N23" s="5">
        <v>9213</v>
      </c>
    </row>
    <row r="24" spans="1:28" ht="15" customHeight="1">
      <c r="B24" s="4" t="s">
        <v>3</v>
      </c>
      <c r="C24" s="5">
        <v>7843</v>
      </c>
      <c r="D24" s="5">
        <v>18522</v>
      </c>
      <c r="E24" s="5">
        <v>1552</v>
      </c>
      <c r="F24" s="5">
        <v>10259</v>
      </c>
      <c r="G24" s="5">
        <v>11051</v>
      </c>
      <c r="H24" s="5">
        <v>7904</v>
      </c>
      <c r="I24" s="5">
        <v>22612</v>
      </c>
      <c r="J24" s="5">
        <v>1258</v>
      </c>
      <c r="K24" s="5">
        <v>29875</v>
      </c>
      <c r="L24" s="5">
        <v>4244</v>
      </c>
      <c r="M24" s="5">
        <v>28167</v>
      </c>
      <c r="N24" s="5">
        <v>13904</v>
      </c>
      <c r="P24" s="4" t="s">
        <v>5</v>
      </c>
      <c r="Q24" s="22">
        <v>2</v>
      </c>
      <c r="R24" s="23">
        <v>3</v>
      </c>
      <c r="S24" s="22">
        <v>4</v>
      </c>
      <c r="T24" s="23">
        <v>5</v>
      </c>
      <c r="U24" s="22">
        <v>6</v>
      </c>
      <c r="V24" s="23">
        <v>7</v>
      </c>
      <c r="W24" s="22">
        <v>8</v>
      </c>
      <c r="X24" s="23">
        <v>9</v>
      </c>
      <c r="Y24" s="22">
        <v>10</v>
      </c>
      <c r="Z24" s="23">
        <v>11</v>
      </c>
      <c r="AA24" s="22">
        <v>12</v>
      </c>
      <c r="AB24" s="23">
        <v>13</v>
      </c>
    </row>
    <row r="25" spans="1:28" ht="15" customHeight="1"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P25" s="6">
        <v>2015</v>
      </c>
      <c r="Q25" s="5">
        <v>23276</v>
      </c>
      <c r="R25" s="5">
        <v>1531</v>
      </c>
      <c r="S25" s="5">
        <v>20112</v>
      </c>
      <c r="T25" s="5">
        <v>10757</v>
      </c>
      <c r="U25" s="5">
        <v>2073</v>
      </c>
      <c r="V25" s="5">
        <v>3016</v>
      </c>
      <c r="W25" s="5">
        <v>3815</v>
      </c>
      <c r="X25" s="5">
        <v>15674</v>
      </c>
      <c r="Y25" s="5">
        <v>27025</v>
      </c>
      <c r="Z25" s="5">
        <v>9656</v>
      </c>
      <c r="AA25" s="5">
        <v>5001</v>
      </c>
      <c r="AB25" s="5">
        <v>26001</v>
      </c>
    </row>
    <row r="26" spans="1:28" ht="15" customHeight="1">
      <c r="C26"/>
      <c r="D26">
        <v>2</v>
      </c>
      <c r="E26">
        <v>3</v>
      </c>
      <c r="F26">
        <v>4</v>
      </c>
      <c r="G26">
        <v>5</v>
      </c>
      <c r="H26">
        <v>6</v>
      </c>
      <c r="I26">
        <v>7</v>
      </c>
      <c r="J26">
        <v>8</v>
      </c>
      <c r="K26">
        <v>9</v>
      </c>
      <c r="L26">
        <v>10</v>
      </c>
      <c r="M26">
        <v>11</v>
      </c>
      <c r="N26">
        <v>12</v>
      </c>
      <c r="P26" s="6">
        <v>2016</v>
      </c>
      <c r="Q26" s="5">
        <v>29703</v>
      </c>
      <c r="R26" s="5">
        <v>26882</v>
      </c>
      <c r="S26" s="5">
        <v>16093</v>
      </c>
      <c r="T26" s="5">
        <v>20072</v>
      </c>
      <c r="U26" s="5">
        <v>16900</v>
      </c>
      <c r="V26" s="5">
        <v>18906</v>
      </c>
      <c r="W26" s="5">
        <v>8243</v>
      </c>
      <c r="X26" s="5">
        <v>29649</v>
      </c>
      <c r="Y26" s="5">
        <v>19394</v>
      </c>
      <c r="Z26" s="5">
        <v>1476</v>
      </c>
      <c r="AA26" s="5">
        <v>1063</v>
      </c>
      <c r="AB26" s="5">
        <v>3737</v>
      </c>
    </row>
    <row r="27" spans="1:28" ht="15" customHeight="1">
      <c r="A27" s="10">
        <v>2015</v>
      </c>
      <c r="B27" s="2">
        <v>1</v>
      </c>
      <c r="C27" s="9">
        <f>INDEX(A27:A29,B27)</f>
        <v>2015</v>
      </c>
      <c r="D27" s="3">
        <f t="shared" ref="D27:N27" si="6">IF($C$27=$B$2,C2,IF($C$27=$B$10,C10,C18))</f>
        <v>42005</v>
      </c>
      <c r="E27" s="3">
        <f t="shared" si="6"/>
        <v>42036</v>
      </c>
      <c r="F27" s="3">
        <f t="shared" si="6"/>
        <v>42064</v>
      </c>
      <c r="G27" s="3">
        <f t="shared" si="6"/>
        <v>42095</v>
      </c>
      <c r="H27" s="3">
        <f t="shared" si="6"/>
        <v>42125</v>
      </c>
      <c r="I27" s="3">
        <f t="shared" si="6"/>
        <v>42156</v>
      </c>
      <c r="J27" s="3">
        <f t="shared" si="6"/>
        <v>42186</v>
      </c>
      <c r="K27" s="3">
        <f t="shared" si="6"/>
        <v>42217</v>
      </c>
      <c r="L27" s="3">
        <f t="shared" si="6"/>
        <v>42248</v>
      </c>
      <c r="M27" s="3">
        <f t="shared" si="6"/>
        <v>42278</v>
      </c>
      <c r="N27" s="3">
        <f t="shared" si="6"/>
        <v>42309</v>
      </c>
      <c r="O27">
        <v>13</v>
      </c>
      <c r="P27" s="6">
        <v>2017</v>
      </c>
      <c r="Q27" s="5">
        <v>19234</v>
      </c>
      <c r="R27" s="5">
        <v>27202</v>
      </c>
      <c r="S27" s="5">
        <v>5903</v>
      </c>
      <c r="T27" s="5">
        <v>8776</v>
      </c>
      <c r="U27" s="5">
        <v>3305</v>
      </c>
      <c r="V27" s="5">
        <v>25252</v>
      </c>
      <c r="W27" s="5">
        <v>28926</v>
      </c>
      <c r="X27" s="5">
        <v>24295</v>
      </c>
      <c r="Y27" s="5">
        <v>17704</v>
      </c>
      <c r="Z27" s="5">
        <v>13869</v>
      </c>
      <c r="AA27" s="5">
        <v>18686</v>
      </c>
      <c r="AB27" s="5">
        <v>22093</v>
      </c>
    </row>
    <row r="28" spans="1:28" ht="15" customHeight="1">
      <c r="A28" s="10">
        <v>2016</v>
      </c>
      <c r="B28" s="2">
        <v>2</v>
      </c>
      <c r="C28" s="9" t="str">
        <f>INDEX(B3:B8,B28)</f>
        <v>Guarana</v>
      </c>
      <c r="D28" s="8">
        <f t="shared" ref="D28:N28" si="7">IF($C$27=$B$2,VLOOKUP($C$28,$B$3:$N$8,D26,0),IF($C$27=$B$10,VLOOKUP($C$28,$B$11:$N$16,D26,0),VLOOKUP($C$28,$B$19:$N$24,D26,0)))</f>
        <v>4410</v>
      </c>
      <c r="E28" s="5">
        <f t="shared" si="7"/>
        <v>6653</v>
      </c>
      <c r="F28" s="5">
        <f t="shared" si="7"/>
        <v>9204</v>
      </c>
      <c r="G28" s="5">
        <f t="shared" si="7"/>
        <v>17062</v>
      </c>
      <c r="H28" s="5">
        <f t="shared" si="7"/>
        <v>1412</v>
      </c>
      <c r="I28" s="5">
        <f t="shared" si="7"/>
        <v>10904</v>
      </c>
      <c r="J28" s="5">
        <f t="shared" si="7"/>
        <v>26600</v>
      </c>
      <c r="K28" s="5">
        <f t="shared" si="7"/>
        <v>20778</v>
      </c>
      <c r="L28" s="5">
        <f t="shared" si="7"/>
        <v>11634</v>
      </c>
      <c r="M28" s="5">
        <f t="shared" si="7"/>
        <v>3387</v>
      </c>
      <c r="N28" s="5">
        <f t="shared" si="7"/>
        <v>5745</v>
      </c>
      <c r="O28"/>
      <c r="P28">
        <f>INDEX(P25:P27,Q30)</f>
        <v>2016</v>
      </c>
      <c r="Q28" s="5">
        <f>VLOOKUP($P$28,$P$25:$AB$27,Q24,0)</f>
        <v>29703</v>
      </c>
      <c r="R28" s="5">
        <f t="shared" ref="R28:AB28" si="8">VLOOKUP($P$28,$P$25:$AB$27,R24,0)</f>
        <v>26882</v>
      </c>
      <c r="S28" s="5">
        <f t="shared" si="8"/>
        <v>16093</v>
      </c>
      <c r="T28" s="5">
        <f t="shared" si="8"/>
        <v>20072</v>
      </c>
      <c r="U28" s="5">
        <f t="shared" si="8"/>
        <v>16900</v>
      </c>
      <c r="V28" s="5">
        <f t="shared" si="8"/>
        <v>18906</v>
      </c>
      <c r="W28" s="5">
        <f t="shared" si="8"/>
        <v>8243</v>
      </c>
      <c r="X28" s="5">
        <f t="shared" si="8"/>
        <v>29649</v>
      </c>
      <c r="Y28" s="5">
        <f t="shared" si="8"/>
        <v>19394</v>
      </c>
      <c r="Z28" s="5">
        <f t="shared" si="8"/>
        <v>1476</v>
      </c>
      <c r="AA28" s="5">
        <f t="shared" si="8"/>
        <v>1063</v>
      </c>
      <c r="AB28" s="5">
        <f t="shared" si="8"/>
        <v>3737</v>
      </c>
    </row>
    <row r="29" spans="1:28" ht="15" customHeight="1">
      <c r="A29" s="10">
        <v>2017</v>
      </c>
      <c r="B29" s="2">
        <v>5</v>
      </c>
      <c r="C29" s="9" t="str">
        <f>INDEX(B3:B8,B29)</f>
        <v>Coca Cola</v>
      </c>
      <c r="D29" s="8">
        <f t="shared" ref="D29:N29" si="9">IF($C$27=$B$2,VLOOKUP($C$29,$B$3:$N$8,D26,0),IF($C$27=$B$10,VLOOKUP($C$29,$B$11:$N$16,D26,0),VLOOKUP($C$29,$B$19:$N$24,D26,0)))</f>
        <v>8594</v>
      </c>
      <c r="E29" s="5">
        <f t="shared" si="9"/>
        <v>26915</v>
      </c>
      <c r="F29" s="5">
        <f t="shared" si="9"/>
        <v>2855</v>
      </c>
      <c r="G29" s="5">
        <f t="shared" si="9"/>
        <v>9838</v>
      </c>
      <c r="H29" s="5">
        <f t="shared" si="9"/>
        <v>26763</v>
      </c>
      <c r="I29" s="5">
        <f t="shared" si="9"/>
        <v>3350</v>
      </c>
      <c r="J29" s="5">
        <f t="shared" si="9"/>
        <v>5281</v>
      </c>
      <c r="K29" s="5">
        <f t="shared" si="9"/>
        <v>16709</v>
      </c>
      <c r="L29" s="5">
        <f t="shared" si="9"/>
        <v>17058</v>
      </c>
      <c r="M29" s="5">
        <f t="shared" si="9"/>
        <v>2539</v>
      </c>
      <c r="N29" s="5">
        <f t="shared" si="9"/>
        <v>23299</v>
      </c>
      <c r="O29"/>
      <c r="P29">
        <f>INDEX(P25:P27,R30)</f>
        <v>2017</v>
      </c>
      <c r="Q29" s="5">
        <f>VLOOKUP($P$29,$P$25:$AB$27,Q24,0)</f>
        <v>19234</v>
      </c>
      <c r="R29" s="5">
        <f t="shared" ref="R29:AB29" si="10">VLOOKUP($P$29,$P$25:$AB$27,R24,0)</f>
        <v>27202</v>
      </c>
      <c r="S29" s="5">
        <f t="shared" si="10"/>
        <v>5903</v>
      </c>
      <c r="T29" s="5">
        <f t="shared" si="10"/>
        <v>8776</v>
      </c>
      <c r="U29" s="5">
        <f t="shared" si="10"/>
        <v>3305</v>
      </c>
      <c r="V29" s="5">
        <f t="shared" si="10"/>
        <v>25252</v>
      </c>
      <c r="W29" s="5">
        <f t="shared" si="10"/>
        <v>28926</v>
      </c>
      <c r="X29" s="5">
        <f t="shared" si="10"/>
        <v>24295</v>
      </c>
      <c r="Y29" s="5">
        <f t="shared" si="10"/>
        <v>17704</v>
      </c>
      <c r="Z29" s="5">
        <f t="shared" si="10"/>
        <v>13869</v>
      </c>
      <c r="AA29" s="5">
        <f t="shared" si="10"/>
        <v>18686</v>
      </c>
      <c r="AB29" s="5">
        <f t="shared" si="10"/>
        <v>22093</v>
      </c>
    </row>
    <row r="30" spans="1:28" ht="15" customHeight="1">
      <c r="C30" s="9" t="s">
        <v>6</v>
      </c>
      <c r="D30" s="8">
        <f>'Resumo Gerencial'!$K$9</f>
        <v>21000</v>
      </c>
      <c r="E30" s="5">
        <f>'Resumo Gerencial'!$K$9</f>
        <v>21000</v>
      </c>
      <c r="F30" s="5">
        <f>'Resumo Gerencial'!$K$9</f>
        <v>21000</v>
      </c>
      <c r="G30" s="5">
        <f>'Resumo Gerencial'!$K$9</f>
        <v>21000</v>
      </c>
      <c r="H30" s="5">
        <f>'Resumo Gerencial'!$K$9</f>
        <v>21000</v>
      </c>
      <c r="I30" s="5">
        <f>'Resumo Gerencial'!$K$9</f>
        <v>21000</v>
      </c>
      <c r="J30" s="5">
        <f>'Resumo Gerencial'!$K$9</f>
        <v>21000</v>
      </c>
      <c r="K30" s="5">
        <f>'Resumo Gerencial'!$K$9</f>
        <v>21000</v>
      </c>
      <c r="L30" s="5">
        <f>'Resumo Gerencial'!$K$9</f>
        <v>21000</v>
      </c>
      <c r="M30" s="5">
        <f>'Resumo Gerencial'!$K$9</f>
        <v>21000</v>
      </c>
      <c r="N30" s="5">
        <f>'Resumo Gerencial'!$K$9</f>
        <v>21000</v>
      </c>
      <c r="O30"/>
      <c r="Q30">
        <v>2</v>
      </c>
      <c r="R30">
        <v>3</v>
      </c>
    </row>
    <row r="31" spans="1:28" ht="15" customHeigh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4" t="s">
        <v>4</v>
      </c>
      <c r="Q31" s="22">
        <v>2</v>
      </c>
      <c r="R31" s="23">
        <v>3</v>
      </c>
      <c r="S31" s="22">
        <v>4</v>
      </c>
      <c r="T31" s="23">
        <v>5</v>
      </c>
      <c r="U31" s="22">
        <v>6</v>
      </c>
      <c r="V31" s="23">
        <v>7</v>
      </c>
      <c r="W31" s="22">
        <v>8</v>
      </c>
      <c r="X31" s="23">
        <v>9</v>
      </c>
      <c r="Y31" s="22">
        <v>10</v>
      </c>
      <c r="Z31" s="23">
        <v>11</v>
      </c>
      <c r="AA31" s="22">
        <v>12</v>
      </c>
      <c r="AB31" s="23">
        <v>13</v>
      </c>
    </row>
    <row r="32" spans="1:28" ht="15" customHeight="1">
      <c r="P32" s="6">
        <v>2015</v>
      </c>
      <c r="Q32" s="5">
        <v>8594</v>
      </c>
      <c r="R32" s="5">
        <v>26915</v>
      </c>
      <c r="S32" s="5">
        <v>2855</v>
      </c>
      <c r="T32" s="5">
        <v>9838</v>
      </c>
      <c r="U32" s="5">
        <v>26763</v>
      </c>
      <c r="V32" s="5">
        <v>3350</v>
      </c>
      <c r="W32" s="5">
        <v>5281</v>
      </c>
      <c r="X32" s="5">
        <v>16709</v>
      </c>
      <c r="Y32" s="5">
        <v>17058</v>
      </c>
      <c r="Z32" s="5">
        <v>2539</v>
      </c>
      <c r="AA32" s="5">
        <v>23299</v>
      </c>
      <c r="AB32" s="5">
        <v>14178</v>
      </c>
    </row>
    <row r="33" spans="16:28" ht="15" customHeight="1">
      <c r="P33" s="6">
        <v>2016</v>
      </c>
      <c r="Q33" s="5">
        <v>18066</v>
      </c>
      <c r="R33" s="5">
        <v>11607</v>
      </c>
      <c r="S33" s="5">
        <v>3063</v>
      </c>
      <c r="T33" s="5">
        <v>10044</v>
      </c>
      <c r="U33" s="5">
        <v>10074</v>
      </c>
      <c r="V33" s="5">
        <v>16476</v>
      </c>
      <c r="W33" s="5">
        <v>20820</v>
      </c>
      <c r="X33" s="5">
        <v>6470</v>
      </c>
      <c r="Y33" s="5">
        <v>13918</v>
      </c>
      <c r="Z33" s="5">
        <v>9845</v>
      </c>
      <c r="AA33" s="5">
        <v>18552</v>
      </c>
      <c r="AB33" s="5">
        <v>3044</v>
      </c>
    </row>
    <row r="34" spans="16:28" ht="15" customHeight="1">
      <c r="P34" s="6">
        <v>2017</v>
      </c>
      <c r="Q34" s="5">
        <v>6578</v>
      </c>
      <c r="R34" s="5">
        <v>17386</v>
      </c>
      <c r="S34" s="5">
        <v>13462</v>
      </c>
      <c r="T34" s="5">
        <v>15653</v>
      </c>
      <c r="U34" s="5">
        <v>24770</v>
      </c>
      <c r="V34" s="5">
        <v>12006</v>
      </c>
      <c r="W34" s="5">
        <v>12622</v>
      </c>
      <c r="X34" s="5">
        <v>16333</v>
      </c>
      <c r="Y34" s="5">
        <v>25023</v>
      </c>
      <c r="Z34" s="5">
        <v>3109</v>
      </c>
      <c r="AA34" s="5">
        <v>14640</v>
      </c>
      <c r="AB34" s="5">
        <v>9213</v>
      </c>
    </row>
    <row r="35" spans="16:28" ht="15" customHeight="1">
      <c r="P35">
        <f>INDEX(P32:P34,Q37)</f>
        <v>2015</v>
      </c>
      <c r="Q35" s="5">
        <f>VLOOKUP($P$35,$P$32:$AB$34,Q31,0)</f>
        <v>8594</v>
      </c>
      <c r="R35" s="5">
        <f t="shared" ref="R35:AB35" si="11">VLOOKUP($P$35,$P$32:$AB$34,R31,0)</f>
        <v>26915</v>
      </c>
      <c r="S35" s="5">
        <f t="shared" si="11"/>
        <v>2855</v>
      </c>
      <c r="T35" s="5">
        <f t="shared" si="11"/>
        <v>9838</v>
      </c>
      <c r="U35" s="5">
        <f t="shared" si="11"/>
        <v>26763</v>
      </c>
      <c r="V35" s="5">
        <f t="shared" si="11"/>
        <v>3350</v>
      </c>
      <c r="W35" s="5">
        <f t="shared" si="11"/>
        <v>5281</v>
      </c>
      <c r="X35" s="5">
        <f t="shared" si="11"/>
        <v>16709</v>
      </c>
      <c r="Y35" s="5">
        <f t="shared" si="11"/>
        <v>17058</v>
      </c>
      <c r="Z35" s="5">
        <f t="shared" si="11"/>
        <v>2539</v>
      </c>
      <c r="AA35" s="5">
        <f t="shared" si="11"/>
        <v>23299</v>
      </c>
      <c r="AB35" s="5">
        <f t="shared" si="11"/>
        <v>14178</v>
      </c>
    </row>
    <row r="36" spans="16:28" ht="15" customHeight="1">
      <c r="P36">
        <f>INDEX(P32:P34,R37)</f>
        <v>2016</v>
      </c>
      <c r="Q36" s="5">
        <f>VLOOKUP($P$36,$P$32:$AB$34,Q31,0)</f>
        <v>18066</v>
      </c>
      <c r="R36" s="5">
        <f t="shared" ref="R36:AB36" si="12">VLOOKUP($P$36,$P$32:$AB$34,R31,0)</f>
        <v>11607</v>
      </c>
      <c r="S36" s="5">
        <f t="shared" si="12"/>
        <v>3063</v>
      </c>
      <c r="T36" s="5">
        <f t="shared" si="12"/>
        <v>10044</v>
      </c>
      <c r="U36" s="5">
        <f t="shared" si="12"/>
        <v>10074</v>
      </c>
      <c r="V36" s="5">
        <f t="shared" si="12"/>
        <v>16476</v>
      </c>
      <c r="W36" s="5">
        <f t="shared" si="12"/>
        <v>20820</v>
      </c>
      <c r="X36" s="5">
        <f t="shared" si="12"/>
        <v>6470</v>
      </c>
      <c r="Y36" s="5">
        <f t="shared" si="12"/>
        <v>13918</v>
      </c>
      <c r="Z36" s="5">
        <f t="shared" si="12"/>
        <v>9845</v>
      </c>
      <c r="AA36" s="5">
        <f t="shared" si="12"/>
        <v>18552</v>
      </c>
      <c r="AB36" s="5">
        <f t="shared" si="12"/>
        <v>3044</v>
      </c>
    </row>
    <row r="37" spans="16:28" ht="15" customHeight="1">
      <c r="Q37">
        <v>1</v>
      </c>
      <c r="R37">
        <v>2</v>
      </c>
    </row>
    <row r="38" spans="16:28" ht="15" customHeight="1"/>
    <row r="39" spans="16:28" ht="15" customHeight="1">
      <c r="P39" s="4" t="s">
        <v>3</v>
      </c>
      <c r="Q39" s="22">
        <v>2</v>
      </c>
      <c r="R39" s="23">
        <v>3</v>
      </c>
      <c r="S39" s="22">
        <v>4</v>
      </c>
      <c r="T39" s="23">
        <v>5</v>
      </c>
      <c r="U39" s="22">
        <v>6</v>
      </c>
      <c r="V39" s="23">
        <v>7</v>
      </c>
      <c r="W39" s="22">
        <v>8</v>
      </c>
      <c r="X39" s="23">
        <v>9</v>
      </c>
      <c r="Y39" s="22">
        <v>10</v>
      </c>
      <c r="Z39" s="23">
        <v>11</v>
      </c>
      <c r="AA39" s="22">
        <v>12</v>
      </c>
      <c r="AB39" s="23">
        <v>13</v>
      </c>
    </row>
    <row r="40" spans="16:28" ht="15" customHeight="1">
      <c r="P40" s="6">
        <v>2015</v>
      </c>
      <c r="Q40" s="5">
        <v>29404</v>
      </c>
      <c r="R40" s="5">
        <v>18104</v>
      </c>
      <c r="S40" s="5">
        <v>8762</v>
      </c>
      <c r="T40" s="5">
        <v>1362</v>
      </c>
      <c r="U40" s="5">
        <v>18206</v>
      </c>
      <c r="V40" s="5">
        <v>15125</v>
      </c>
      <c r="W40" s="5">
        <v>18140</v>
      </c>
      <c r="X40" s="5">
        <v>10433</v>
      </c>
      <c r="Y40" s="5">
        <v>26924</v>
      </c>
      <c r="Z40" s="5">
        <v>5606</v>
      </c>
      <c r="AA40" s="5">
        <v>18979</v>
      </c>
      <c r="AB40" s="5">
        <v>1009</v>
      </c>
    </row>
    <row r="41" spans="16:28" ht="15" customHeight="1">
      <c r="P41" s="6">
        <v>2016</v>
      </c>
      <c r="Q41" s="5">
        <v>8506</v>
      </c>
      <c r="R41" s="5">
        <v>7978</v>
      </c>
      <c r="S41" s="5">
        <v>26828</v>
      </c>
      <c r="T41" s="5">
        <v>19337</v>
      </c>
      <c r="U41" s="5">
        <v>5158</v>
      </c>
      <c r="V41" s="5">
        <v>3821</v>
      </c>
      <c r="W41" s="5">
        <v>23094</v>
      </c>
      <c r="X41" s="5">
        <v>23305</v>
      </c>
      <c r="Y41" s="5">
        <v>29078</v>
      </c>
      <c r="Z41" s="5">
        <v>23134</v>
      </c>
      <c r="AA41" s="5">
        <v>3697</v>
      </c>
      <c r="AB41" s="5">
        <v>24863</v>
      </c>
    </row>
    <row r="42" spans="16:28" ht="15" customHeight="1">
      <c r="P42" s="6">
        <v>2017</v>
      </c>
      <c r="Q42" s="5">
        <v>7843</v>
      </c>
      <c r="R42" s="5">
        <v>18522</v>
      </c>
      <c r="S42" s="5">
        <v>1552</v>
      </c>
      <c r="T42" s="5">
        <v>10259</v>
      </c>
      <c r="U42" s="5">
        <v>11051</v>
      </c>
      <c r="V42" s="5">
        <v>7904</v>
      </c>
      <c r="W42" s="5">
        <v>22612</v>
      </c>
      <c r="X42" s="5">
        <v>1258</v>
      </c>
      <c r="Y42" s="5">
        <v>29875</v>
      </c>
      <c r="Z42" s="5">
        <v>4244</v>
      </c>
      <c r="AA42" s="5">
        <v>28167</v>
      </c>
      <c r="AB42" s="5">
        <v>13904</v>
      </c>
    </row>
    <row r="43" spans="16:28" ht="15" customHeight="1">
      <c r="P43">
        <f>INDEX(P40:P42,Q45)</f>
        <v>2016</v>
      </c>
      <c r="Q43" s="5">
        <f>VLOOKUP($P$43,$P$40:$AB$42,Q39,0)</f>
        <v>8506</v>
      </c>
      <c r="R43" s="5">
        <f t="shared" ref="R43:AB43" si="13">VLOOKUP($P$43,$P$40:$AB$42,R39,0)</f>
        <v>7978</v>
      </c>
      <c r="S43" s="5">
        <f t="shared" si="13"/>
        <v>26828</v>
      </c>
      <c r="T43" s="5">
        <f t="shared" si="13"/>
        <v>19337</v>
      </c>
      <c r="U43" s="5">
        <f t="shared" si="13"/>
        <v>5158</v>
      </c>
      <c r="V43" s="5">
        <f t="shared" si="13"/>
        <v>3821</v>
      </c>
      <c r="W43" s="5">
        <f t="shared" si="13"/>
        <v>23094</v>
      </c>
      <c r="X43" s="5">
        <f t="shared" si="13"/>
        <v>23305</v>
      </c>
      <c r="Y43" s="5">
        <f t="shared" si="13"/>
        <v>29078</v>
      </c>
      <c r="Z43" s="5">
        <f t="shared" si="13"/>
        <v>23134</v>
      </c>
      <c r="AA43" s="5">
        <f t="shared" si="13"/>
        <v>3697</v>
      </c>
      <c r="AB43" s="5">
        <f t="shared" si="13"/>
        <v>24863</v>
      </c>
    </row>
    <row r="44" spans="16:28" ht="15" customHeight="1">
      <c r="P44">
        <f>INDEX(P40:P42,R45)</f>
        <v>2017</v>
      </c>
      <c r="Q44" s="5">
        <f>VLOOKUP($P$44,$P$40:$AB$42,Q39,0)</f>
        <v>7843</v>
      </c>
      <c r="R44" s="5">
        <f t="shared" ref="R44:AB44" si="14">VLOOKUP($P$44,$P$40:$AB$42,R39,0)</f>
        <v>18522</v>
      </c>
      <c r="S44" s="5">
        <f t="shared" si="14"/>
        <v>1552</v>
      </c>
      <c r="T44" s="5">
        <f t="shared" si="14"/>
        <v>10259</v>
      </c>
      <c r="U44" s="5">
        <f t="shared" si="14"/>
        <v>11051</v>
      </c>
      <c r="V44" s="5">
        <f t="shared" si="14"/>
        <v>7904</v>
      </c>
      <c r="W44" s="5">
        <f t="shared" si="14"/>
        <v>22612</v>
      </c>
      <c r="X44" s="5">
        <f t="shared" si="14"/>
        <v>1258</v>
      </c>
      <c r="Y44" s="5">
        <f t="shared" si="14"/>
        <v>29875</v>
      </c>
      <c r="Z44" s="5">
        <f t="shared" si="14"/>
        <v>4244</v>
      </c>
      <c r="AA44" s="5">
        <f t="shared" si="14"/>
        <v>28167</v>
      </c>
      <c r="AB44" s="5">
        <f t="shared" si="14"/>
        <v>13904</v>
      </c>
    </row>
    <row r="45" spans="16:28" ht="15" customHeight="1">
      <c r="Q45">
        <v>2</v>
      </c>
      <c r="R45">
        <v>3</v>
      </c>
    </row>
    <row r="46" spans="16:28" ht="15" customHeight="1"/>
    <row r="47" spans="16:28" ht="15" customHeight="1"/>
    <row r="48" spans="16:2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51735-6C48-435D-A0C2-FBFBAC0F414C}">
  <sheetPr codeName="Planilha9"/>
  <dimension ref="B2:D6"/>
  <sheetViews>
    <sheetView showGridLines="0" zoomScale="115" zoomScaleNormal="115" workbookViewId="0">
      <selection activeCell="B7" sqref="B7"/>
    </sheetView>
  </sheetViews>
  <sheetFormatPr defaultRowHeight="15"/>
  <cols>
    <col min="1" max="1" width="2" customWidth="1"/>
    <col min="2" max="2" width="46" bestFit="1" customWidth="1"/>
    <col min="3" max="3" width="42.28515625" bestFit="1" customWidth="1"/>
    <col min="4" max="4" width="61.5703125" bestFit="1" customWidth="1"/>
  </cols>
  <sheetData>
    <row r="2" spans="2:4">
      <c r="B2" s="24" t="s">
        <v>34</v>
      </c>
      <c r="C2" s="24" t="s">
        <v>20</v>
      </c>
      <c r="D2" s="24" t="s">
        <v>21</v>
      </c>
    </row>
    <row r="3" spans="2:4">
      <c r="B3" s="25" t="s">
        <v>22</v>
      </c>
      <c r="C3" s="25" t="s">
        <v>23</v>
      </c>
      <c r="D3" s="26" t="s">
        <v>24</v>
      </c>
    </row>
    <row r="4" spans="2:4">
      <c r="B4" s="25" t="s">
        <v>25</v>
      </c>
      <c r="C4" s="25" t="s">
        <v>26</v>
      </c>
      <c r="D4" s="26" t="s">
        <v>27</v>
      </c>
    </row>
    <row r="5" spans="2:4">
      <c r="B5" s="25" t="s">
        <v>28</v>
      </c>
      <c r="C5" s="25" t="s">
        <v>29</v>
      </c>
      <c r="D5" s="26" t="s">
        <v>30</v>
      </c>
    </row>
    <row r="6" spans="2:4">
      <c r="B6" s="25" t="s">
        <v>31</v>
      </c>
      <c r="C6" s="25" t="s">
        <v>32</v>
      </c>
      <c r="D6" s="26" t="s">
        <v>33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Z37"/>
  <sheetViews>
    <sheetView showGridLines="0" showRowColHeaders="0" zoomScale="110" zoomScaleNormal="110" workbookViewId="0"/>
  </sheetViews>
  <sheetFormatPr defaultColWidth="0" defaultRowHeight="15" customHeight="1" zeroHeight="1"/>
  <cols>
    <col min="1" max="1" width="1.140625" style="18" customWidth="1"/>
    <col min="2" max="2" width="52.42578125" style="1" customWidth="1"/>
    <col min="3" max="3" width="16.7109375" style="1" customWidth="1"/>
    <col min="4" max="4" width="3.5703125" style="1" customWidth="1"/>
    <col min="5" max="5" width="16.85546875" style="1" customWidth="1"/>
    <col min="6" max="6" width="3.5703125" style="1" customWidth="1"/>
    <col min="7" max="7" width="16.85546875" style="1" customWidth="1"/>
    <col min="8" max="8" width="3.5703125" style="1" customWidth="1"/>
    <col min="9" max="9" width="16.85546875" style="1" customWidth="1"/>
    <col min="10" max="10" width="3.5703125" style="1" customWidth="1"/>
    <col min="11" max="11" width="16.85546875" style="1" customWidth="1"/>
    <col min="12" max="12" width="21.42578125" style="1" customWidth="1"/>
    <col min="13" max="13" width="0.7109375" style="18" customWidth="1"/>
    <col min="14" max="18" width="0" style="1" hidden="1" customWidth="1"/>
    <col min="19" max="19" width="177.140625" style="1" hidden="1" customWidth="1"/>
    <col min="20" max="26" width="0" style="1" hidden="1" customWidth="1"/>
    <col min="27" max="16384" width="9.140625" style="1" hidden="1"/>
  </cols>
  <sheetData>
    <row r="1" spans="6:12" s="17" customFormat="1" ht="4.5" customHeight="1"/>
    <row r="2" spans="6:12" ht="9" customHeight="1"/>
    <row r="3" spans="6:12"/>
    <row r="4" spans="6:12"/>
    <row r="5" spans="6:12"/>
    <row r="6" spans="6:12"/>
    <row r="7" spans="6:12"/>
    <row r="8" spans="6:12">
      <c r="F8" s="19"/>
      <c r="H8" s="19"/>
      <c r="J8" s="19"/>
      <c r="L8" s="20"/>
    </row>
    <row r="9" spans="6:12" ht="15.75">
      <c r="I9" s="21">
        <v>18000</v>
      </c>
    </row>
    <row r="10" spans="6:12"/>
    <row r="11" spans="6:12"/>
    <row r="12" spans="6:12"/>
    <row r="13" spans="6:12"/>
    <row r="14" spans="6:12"/>
    <row r="15" spans="6:12"/>
    <row r="16" spans="6:12"/>
    <row r="17" spans="13:13"/>
    <row r="18" spans="13:13"/>
    <row r="19" spans="13:13"/>
    <row r="20" spans="13:13"/>
    <row r="21" spans="13:13"/>
    <row r="22" spans="13:13"/>
    <row r="23" spans="13:13"/>
    <row r="24" spans="13:13"/>
    <row r="25" spans="13:13"/>
    <row r="26" spans="13:13" s="17" customFormat="1" ht="4.5" customHeight="1">
      <c r="M26" s="17" t="s">
        <v>19</v>
      </c>
    </row>
    <row r="27" spans="13:13" hidden="1"/>
    <row r="28" spans="13:13" hidden="1"/>
    <row r="29" spans="13:13" hidden="1"/>
    <row r="30" spans="13:13" hidden="1"/>
    <row r="31" spans="13:13" hidden="1"/>
    <row r="32" spans="13:13" hidden="1"/>
    <row r="33" hidden="1"/>
    <row r="34" hidden="1"/>
    <row r="35" hidden="1"/>
    <row r="36" hidden="1"/>
    <row r="37" hidden="1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171450</xdr:rowOff>
                  </from>
                  <to>
                    <xdr:col>6</xdr:col>
                    <xdr:colOff>1114425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Drop Down 2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171450</xdr:rowOff>
                  </from>
                  <to>
                    <xdr:col>8</xdr:col>
                    <xdr:colOff>1114425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Z37"/>
  <sheetViews>
    <sheetView showGridLines="0" showRowColHeaders="0" zoomScale="110" zoomScaleNormal="110" workbookViewId="0"/>
  </sheetViews>
  <sheetFormatPr defaultColWidth="0" defaultRowHeight="15" customHeight="1" zeroHeight="1"/>
  <cols>
    <col min="1" max="1" width="1.140625" style="18" customWidth="1"/>
    <col min="2" max="2" width="52.42578125" style="1" customWidth="1"/>
    <col min="3" max="3" width="16.7109375" style="1" customWidth="1"/>
    <col min="4" max="4" width="3.5703125" style="1" customWidth="1"/>
    <col min="5" max="5" width="16.85546875" style="1" customWidth="1"/>
    <col min="6" max="6" width="3.5703125" style="1" customWidth="1"/>
    <col min="7" max="7" width="16.85546875" style="1" customWidth="1"/>
    <col min="8" max="8" width="3.5703125" style="1" customWidth="1"/>
    <col min="9" max="9" width="16.85546875" style="1" customWidth="1"/>
    <col min="10" max="10" width="3.5703125" style="1" customWidth="1"/>
    <col min="11" max="11" width="16.85546875" style="1" customWidth="1"/>
    <col min="12" max="12" width="21.42578125" style="1" customWidth="1"/>
    <col min="13" max="13" width="0.7109375" style="18" customWidth="1"/>
    <col min="14" max="18" width="0" style="1" hidden="1" customWidth="1"/>
    <col min="19" max="19" width="177.140625" style="1" hidden="1" customWidth="1"/>
    <col min="20" max="26" width="0" style="1" hidden="1" customWidth="1"/>
    <col min="27" max="16384" width="9.140625" style="1" hidden="1"/>
  </cols>
  <sheetData>
    <row r="1" spans="6:12" s="17" customFormat="1" ht="4.5" customHeight="1"/>
    <row r="2" spans="6:12" ht="9" customHeight="1"/>
    <row r="3" spans="6:12"/>
    <row r="4" spans="6:12"/>
    <row r="5" spans="6:12"/>
    <row r="6" spans="6:12"/>
    <row r="7" spans="6:12"/>
    <row r="8" spans="6:12">
      <c r="F8" s="19"/>
      <c r="H8" s="19"/>
      <c r="J8" s="19"/>
      <c r="L8" s="20"/>
    </row>
    <row r="9" spans="6:12" ht="15.75">
      <c r="I9" s="21">
        <v>18000</v>
      </c>
    </row>
    <row r="10" spans="6:12"/>
    <row r="11" spans="6:12"/>
    <row r="12" spans="6:12"/>
    <row r="13" spans="6:12"/>
    <row r="14" spans="6:12"/>
    <row r="15" spans="6:12"/>
    <row r="16" spans="6:12"/>
    <row r="17"/>
    <row r="18"/>
    <row r="19"/>
    <row r="20"/>
    <row r="21"/>
    <row r="22"/>
    <row r="23"/>
    <row r="24"/>
    <row r="25"/>
    <row r="26" s="17" customFormat="1" ht="4.5" customHeight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171450</xdr:rowOff>
                  </from>
                  <to>
                    <xdr:col>6</xdr:col>
                    <xdr:colOff>1114425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Drop Down 2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171450</xdr:rowOff>
                  </from>
                  <to>
                    <xdr:col>8</xdr:col>
                    <xdr:colOff>1114425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Z37"/>
  <sheetViews>
    <sheetView showGridLines="0" showRowColHeaders="0" zoomScale="110" zoomScaleNormal="110" workbookViewId="0"/>
  </sheetViews>
  <sheetFormatPr defaultColWidth="0" defaultRowHeight="15" customHeight="1" zeroHeight="1"/>
  <cols>
    <col min="1" max="1" width="1.140625" style="18" customWidth="1"/>
    <col min="2" max="2" width="52.42578125" style="1" customWidth="1"/>
    <col min="3" max="3" width="16.7109375" style="1" customWidth="1"/>
    <col min="4" max="4" width="3.5703125" style="1" customWidth="1"/>
    <col min="5" max="5" width="16.85546875" style="1" customWidth="1"/>
    <col min="6" max="6" width="3.5703125" style="1" customWidth="1"/>
    <col min="7" max="7" width="16.85546875" style="1" customWidth="1"/>
    <col min="8" max="8" width="3.5703125" style="1" customWidth="1"/>
    <col min="9" max="9" width="16.85546875" style="1" customWidth="1"/>
    <col min="10" max="10" width="3.5703125" style="1" customWidth="1"/>
    <col min="11" max="11" width="16.85546875" style="1" customWidth="1"/>
    <col min="12" max="12" width="21.42578125" style="1" customWidth="1"/>
    <col min="13" max="13" width="0.7109375" style="18" customWidth="1"/>
    <col min="14" max="18" width="0" style="1" hidden="1" customWidth="1"/>
    <col min="19" max="19" width="177.140625" style="1" hidden="1" customWidth="1"/>
    <col min="20" max="26" width="0" style="1" hidden="1" customWidth="1"/>
    <col min="27" max="16384" width="9.140625" style="1" hidden="1"/>
  </cols>
  <sheetData>
    <row r="1" spans="6:12" s="17" customFormat="1" ht="4.5" customHeight="1"/>
    <row r="2" spans="6:12" ht="9" customHeight="1"/>
    <row r="3" spans="6:12"/>
    <row r="4" spans="6:12"/>
    <row r="5" spans="6:12"/>
    <row r="6" spans="6:12"/>
    <row r="7" spans="6:12"/>
    <row r="8" spans="6:12">
      <c r="F8" s="19"/>
      <c r="H8" s="19"/>
      <c r="J8" s="19"/>
      <c r="L8" s="20"/>
    </row>
    <row r="9" spans="6:12" ht="15.75">
      <c r="I9" s="21">
        <v>18000</v>
      </c>
    </row>
    <row r="10" spans="6:12"/>
    <row r="11" spans="6:12"/>
    <row r="12" spans="6:12"/>
    <row r="13" spans="6:12"/>
    <row r="14" spans="6:12"/>
    <row r="15" spans="6:12"/>
    <row r="16" spans="6:12"/>
    <row r="17"/>
    <row r="18"/>
    <row r="19"/>
    <row r="20"/>
    <row r="21"/>
    <row r="22"/>
    <row r="23"/>
    <row r="24"/>
    <row r="25"/>
    <row r="26" s="17" customFormat="1" ht="4.5" customHeight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171450</xdr:rowOff>
                  </from>
                  <to>
                    <xdr:col>6</xdr:col>
                    <xdr:colOff>1114425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Drop Down 5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171450</xdr:rowOff>
                  </from>
                  <to>
                    <xdr:col>8</xdr:col>
                    <xdr:colOff>1114425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Z37"/>
  <sheetViews>
    <sheetView showGridLines="0" showRowColHeaders="0" zoomScale="110" zoomScaleNormal="110" workbookViewId="0"/>
  </sheetViews>
  <sheetFormatPr defaultColWidth="0" defaultRowHeight="15" customHeight="1" zeroHeight="1"/>
  <cols>
    <col min="1" max="1" width="1.140625" style="18" customWidth="1"/>
    <col min="2" max="2" width="52.42578125" style="1" customWidth="1"/>
    <col min="3" max="3" width="16.7109375" style="1" customWidth="1"/>
    <col min="4" max="4" width="3.5703125" style="1" customWidth="1"/>
    <col min="5" max="5" width="16.85546875" style="1" customWidth="1"/>
    <col min="6" max="6" width="3.5703125" style="1" customWidth="1"/>
    <col min="7" max="7" width="16.85546875" style="1" customWidth="1"/>
    <col min="8" max="8" width="3.5703125" style="1" customWidth="1"/>
    <col min="9" max="9" width="16.85546875" style="1" customWidth="1"/>
    <col min="10" max="10" width="3.5703125" style="1" customWidth="1"/>
    <col min="11" max="11" width="16.85546875" style="1" customWidth="1"/>
    <col min="12" max="12" width="21.42578125" style="1" customWidth="1"/>
    <col min="13" max="13" width="0.7109375" style="18" customWidth="1"/>
    <col min="14" max="18" width="0" style="1" hidden="1" customWidth="1"/>
    <col min="19" max="19" width="177.140625" style="1" hidden="1" customWidth="1"/>
    <col min="20" max="26" width="0" style="1" hidden="1" customWidth="1"/>
    <col min="27" max="16384" width="9.140625" style="1" hidden="1"/>
  </cols>
  <sheetData>
    <row r="1" spans="6:12" s="17" customFormat="1" ht="4.5" customHeight="1"/>
    <row r="2" spans="6:12" ht="9" customHeight="1"/>
    <row r="3" spans="6:12"/>
    <row r="4" spans="6:12"/>
    <row r="5" spans="6:12"/>
    <row r="6" spans="6:12"/>
    <row r="7" spans="6:12"/>
    <row r="8" spans="6:12">
      <c r="F8" s="19"/>
      <c r="H8" s="19"/>
      <c r="J8" s="19"/>
      <c r="L8" s="20"/>
    </row>
    <row r="9" spans="6:12" ht="15.75">
      <c r="I9" s="21">
        <v>18000</v>
      </c>
    </row>
    <row r="10" spans="6:12"/>
    <row r="11" spans="6:12"/>
    <row r="12" spans="6:12"/>
    <row r="13" spans="6:12"/>
    <row r="14" spans="6:12"/>
    <row r="15" spans="6:12"/>
    <row r="16" spans="6:12"/>
    <row r="17"/>
    <row r="18"/>
    <row r="19"/>
    <row r="20"/>
    <row r="21"/>
    <row r="22"/>
    <row r="23"/>
    <row r="24"/>
    <row r="25"/>
    <row r="26" s="17" customFormat="1" ht="4.5" customHeight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171450</xdr:rowOff>
                  </from>
                  <to>
                    <xdr:col>6</xdr:col>
                    <xdr:colOff>1114425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Drop Down 2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171450</xdr:rowOff>
                  </from>
                  <to>
                    <xdr:col>8</xdr:col>
                    <xdr:colOff>1114425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Z37"/>
  <sheetViews>
    <sheetView showGridLines="0" showRowColHeaders="0" zoomScale="110" zoomScaleNormal="110" workbookViewId="0"/>
  </sheetViews>
  <sheetFormatPr defaultColWidth="0" defaultRowHeight="15" customHeight="1" zeroHeight="1"/>
  <cols>
    <col min="1" max="1" width="1.140625" style="18" customWidth="1"/>
    <col min="2" max="2" width="52.42578125" style="1" customWidth="1"/>
    <col min="3" max="3" width="16.7109375" style="1" customWidth="1"/>
    <col min="4" max="4" width="3.5703125" style="1" customWidth="1"/>
    <col min="5" max="5" width="16.85546875" style="1" customWidth="1"/>
    <col min="6" max="6" width="3.5703125" style="1" customWidth="1"/>
    <col min="7" max="7" width="16.85546875" style="1" customWidth="1"/>
    <col min="8" max="8" width="3.5703125" style="1" customWidth="1"/>
    <col min="9" max="9" width="16.85546875" style="1" customWidth="1"/>
    <col min="10" max="10" width="3.5703125" style="1" customWidth="1"/>
    <col min="11" max="11" width="16.85546875" style="1" customWidth="1"/>
    <col min="12" max="12" width="21.42578125" style="1" customWidth="1"/>
    <col min="13" max="13" width="0.7109375" style="18" customWidth="1"/>
    <col min="14" max="18" width="0" style="1" hidden="1" customWidth="1"/>
    <col min="19" max="19" width="177.140625" style="1" hidden="1" customWidth="1"/>
    <col min="20" max="26" width="0" style="1" hidden="1" customWidth="1"/>
    <col min="27" max="16384" width="9.140625" style="1" hidden="1"/>
  </cols>
  <sheetData>
    <row r="1" spans="6:12" s="17" customFormat="1" ht="4.5" customHeight="1"/>
    <row r="2" spans="6:12" ht="9" customHeight="1"/>
    <row r="3" spans="6:12"/>
    <row r="4" spans="6:12"/>
    <row r="5" spans="6:12"/>
    <row r="6" spans="6:12"/>
    <row r="7" spans="6:12"/>
    <row r="8" spans="6:12">
      <c r="F8" s="19"/>
      <c r="H8" s="19"/>
      <c r="J8" s="19"/>
      <c r="L8" s="20"/>
    </row>
    <row r="9" spans="6:12" ht="15.75">
      <c r="I9" s="21">
        <v>18000</v>
      </c>
    </row>
    <row r="10" spans="6:12"/>
    <row r="11" spans="6:12"/>
    <row r="12" spans="6:12"/>
    <row r="13" spans="6:12"/>
    <row r="14" spans="6:12"/>
    <row r="15" spans="6:12"/>
    <row r="16" spans="6:12"/>
    <row r="17"/>
    <row r="18"/>
    <row r="19"/>
    <row r="20"/>
    <row r="21"/>
    <row r="22"/>
    <row r="23"/>
    <row r="24"/>
    <row r="25"/>
    <row r="26" s="17" customFormat="1" ht="4.5" customHeight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171450</xdr:rowOff>
                  </from>
                  <to>
                    <xdr:col>6</xdr:col>
                    <xdr:colOff>1114425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Drop Down 2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171450</xdr:rowOff>
                  </from>
                  <to>
                    <xdr:col>8</xdr:col>
                    <xdr:colOff>1114425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Z37"/>
  <sheetViews>
    <sheetView showGridLines="0" showRowColHeaders="0" zoomScale="110" zoomScaleNormal="110" workbookViewId="0"/>
  </sheetViews>
  <sheetFormatPr defaultColWidth="0" defaultRowHeight="15" customHeight="1" zeroHeight="1"/>
  <cols>
    <col min="1" max="1" width="1.140625" style="18" customWidth="1"/>
    <col min="2" max="2" width="52.42578125" style="1" customWidth="1"/>
    <col min="3" max="3" width="16.7109375" style="1" customWidth="1"/>
    <col min="4" max="4" width="3.5703125" style="1" customWidth="1"/>
    <col min="5" max="5" width="16.85546875" style="1" customWidth="1"/>
    <col min="6" max="6" width="3.5703125" style="1" customWidth="1"/>
    <col min="7" max="7" width="16.85546875" style="1" customWidth="1"/>
    <col min="8" max="8" width="3.5703125" style="1" customWidth="1"/>
    <col min="9" max="9" width="16.85546875" style="1" customWidth="1"/>
    <col min="10" max="10" width="3.5703125" style="1" customWidth="1"/>
    <col min="11" max="11" width="16.85546875" style="1" customWidth="1"/>
    <col min="12" max="12" width="21.42578125" style="1" customWidth="1"/>
    <col min="13" max="13" width="0.7109375" style="18" customWidth="1"/>
    <col min="14" max="18" width="0" style="1" hidden="1" customWidth="1"/>
    <col min="19" max="19" width="177.140625" style="1" hidden="1" customWidth="1"/>
    <col min="20" max="26" width="0" style="1" hidden="1" customWidth="1"/>
    <col min="27" max="16384" width="9.140625" style="1" hidden="1"/>
  </cols>
  <sheetData>
    <row r="1" spans="6:12" s="17" customFormat="1" ht="4.5" customHeight="1"/>
    <row r="2" spans="6:12" ht="9" customHeight="1"/>
    <row r="3" spans="6:12"/>
    <row r="4" spans="6:12"/>
    <row r="5" spans="6:12"/>
    <row r="6" spans="6:12"/>
    <row r="7" spans="6:12"/>
    <row r="8" spans="6:12">
      <c r="F8" s="19"/>
      <c r="H8" s="19"/>
      <c r="J8" s="19"/>
      <c r="L8" s="20"/>
    </row>
    <row r="9" spans="6:12" ht="15.75">
      <c r="I9" s="21">
        <v>18000</v>
      </c>
    </row>
    <row r="10" spans="6:12"/>
    <row r="11" spans="6:12"/>
    <row r="12" spans="6:12"/>
    <row r="13" spans="6:12"/>
    <row r="14" spans="6:12"/>
    <row r="15" spans="6:12"/>
    <row r="16" spans="6:12"/>
    <row r="17"/>
    <row r="18"/>
    <row r="19"/>
    <row r="20"/>
    <row r="21"/>
    <row r="22"/>
    <row r="23"/>
    <row r="24"/>
    <row r="25"/>
    <row r="26" s="17" customFormat="1" ht="4.5" customHeight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defaultSize="0" autoLine="0" autoPict="0">
                <anchor moveWithCells="1">
                  <from>
                    <xdr:col>6</xdr:col>
                    <xdr:colOff>0</xdr:colOff>
                    <xdr:row>7</xdr:row>
                    <xdr:rowOff>171450</xdr:rowOff>
                  </from>
                  <to>
                    <xdr:col>6</xdr:col>
                    <xdr:colOff>1114425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Drop Down 2">
              <controlPr defaultSize="0" autoLine="0" autoPict="0">
                <anchor moveWithCells="1">
                  <from>
                    <xdr:col>8</xdr:col>
                    <xdr:colOff>0</xdr:colOff>
                    <xdr:row>7</xdr:row>
                    <xdr:rowOff>171450</xdr:rowOff>
                  </from>
                  <to>
                    <xdr:col>8</xdr:col>
                    <xdr:colOff>1114425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Resumo Gerencial</vt:lpstr>
      <vt:lpstr>Base Vendas</vt:lpstr>
      <vt:lpstr>Auxiliar</vt:lpstr>
      <vt:lpstr>Sprite</vt:lpstr>
      <vt:lpstr>Red Bull</vt:lpstr>
      <vt:lpstr>Guarana</vt:lpstr>
      <vt:lpstr>Pepsi</vt:lpstr>
      <vt:lpstr>Fanta</vt:lpstr>
      <vt:lpstr>Coca Cola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</dc:creator>
  <cp:lastModifiedBy>vboxuser</cp:lastModifiedBy>
  <dcterms:created xsi:type="dcterms:W3CDTF">2017-10-04T19:15:15Z</dcterms:created>
  <dcterms:modified xsi:type="dcterms:W3CDTF">2025-01-09T19:54:19Z</dcterms:modified>
</cp:coreProperties>
</file>